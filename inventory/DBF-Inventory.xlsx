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Data Sources" sheetId="5" state="visible" r:id="rId5"/>
  </sheets>
  <definedNames>
    <definedName name="_xlnm._FilterDatabase" localSheetId="2" hidden="1">'Inventory'!$A$1:$W$68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6C737C"/>
      <sz val="9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2">
    <border>
      <left/>
      <right/>
      <top/>
      <bottom/>
      <diagonal/>
    </border>
    <border>
      <bottom style="thin">
        <color rgb="00CBCFD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0" fontId="5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D2E9"/>
        </patternFill>
      </fill>
    </dxf>
    <dxf>
      <fill>
        <patternFill patternType="solid">
          <fgColor rgb="00CF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Claude</author>
  </authors>
  <commentList>
    <comment ref="B4" authorId="0" shapeId="0">
      <text>
        <t>Source: docs/DESIGN-BASIS.md R6 (fixed, includes tax and shipping)</t>
      </text>
    </comment>
    <comment ref="B5" authorId="0" shapeId="0">
      <text>
        <t>Source: C0_BOM.csv, CDTFA rate 2026-10-01</t>
      </text>
    </comment>
    <comment ref="B6" authorId="0" shapeId="0">
      <text>
        <t>Source: C0_BOM.csv; estimate, price at checkout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Source: DBF-VTOL repo, inventory/inventory.json (from docs/purchasing/C0_BOM.csv, prices checked 2026-10-13, and cad/params.txt), generated 2026-10-19 by inventory/build_inventory.mjs.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Design-Build-Fly inventory (DBF-INV-001)</t>
        </is>
      </c>
    </row>
    <row r="2">
      <c r="A2" s="2" t="inlineStr">
        <is>
          <t>Owner: Tristan Hottier, Inventory Czar. Lift + cruise VTOL, design revision 0.3.1.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Inventory tab: one row per stock line. P- rows are bought, M- rows are made in-house, N- rows are the proposed Nautical Wings carbon props.</t>
        </is>
      </c>
    </row>
    <row r="6">
      <c r="A6" s="2" t="inlineStr">
        <is>
          <t>Edit only the blue cells: Qty ordered, Qty on hand, Status, Location, Order date, Received date, Inspected, Actual USD, Notes.</t>
        </is>
      </c>
    </row>
    <row r="7">
      <c r="A7" s="2" t="inlineStr">
        <is>
          <t>Black cells are formulas (Ext USD, Qty still to get). Status and Inspected use dropdowns; status colours update by themselves.</t>
        </is>
      </c>
    </row>
    <row r="8">
      <c r="A8" s="2" t="inlineStr">
        <is>
          <t>When a delivery arrives: count it against the packing slip, set Qty on hand, Received date and Inspected, label the item with its ID and put it in its kit bin (K1 to K7).</t>
        </is>
      </c>
    </row>
    <row r="9">
      <c r="A9" s="2" t="inlineStr">
        <is>
          <t>Budget tab: totals against the $2,000 cap, the crash reserve, spend by kit and the effect of the Nautical Wings prop swap.</t>
        </is>
      </c>
    </row>
    <row r="10">
      <c r="A10" s="2" t="inlineStr"/>
    </row>
    <row r="11">
      <c r="A11" s="3" t="inlineStr">
        <is>
          <t>Where the numbers come from</t>
        </is>
      </c>
    </row>
    <row r="12">
      <c r="A12" s="2" t="inlineStr">
        <is>
          <t>Rows were generated on 2026-10-19 from docs/purchasing/C0_BOM.csv (prices checked 2026-10-13) and the CAD assembly in cad/params.txt, by inventory/build_inventory.mjs in the DBF-VTOL repo.</t>
        </is>
      </c>
    </row>
    <row r="13">
      <c r="A13" s="2" t="inlineStr">
        <is>
          <t>Nothing has been ordered or built yet, so every on-hand quantity starts at 0. Re-check prices before ordering.</t>
        </is>
      </c>
    </row>
    <row r="14">
      <c r="A14" s="2" t="inlineStr">
        <is>
          <t>Overview page: Inventory-Overview.html in the DBF-VTOL repo.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18" customWidth="1" min="4" max="4"/>
    <col width="18" customWidth="1" min="5" max="5"/>
  </cols>
  <sheetData>
    <row r="1">
      <c r="A1" s="4" t="inlineStr">
        <is>
          <t>Budget against the $2,000 cap</t>
        </is>
      </c>
    </row>
    <row r="2">
      <c r="A2" s="5" t="inlineStr">
        <is>
          <t>Blue cells are inputs; black cells are formulas over the Inventory tab.</t>
        </is>
      </c>
    </row>
    <row r="3">
      <c r="A3" s="6" t="inlineStr">
        <is>
          <t>Inputs</t>
        </is>
      </c>
    </row>
    <row r="4">
      <c r="A4" s="5" t="inlineStr">
        <is>
          <t>Hardware budget cap</t>
        </is>
      </c>
      <c r="B4" s="7" t="n">
        <v>2000</v>
      </c>
      <c r="C4" s="8" t="inlineStr">
        <is>
          <t>Source: docs/DESIGN-BASIS.md R6 (fixed, includes tax and shipping)</t>
        </is>
      </c>
    </row>
    <row r="5">
      <c r="A5" s="5" t="inlineStr">
        <is>
          <t>Sales/use tax rate (Berkeley)</t>
        </is>
      </c>
      <c r="B5" s="9" t="n">
        <v>0.1025</v>
      </c>
      <c r="C5" s="8" t="inlineStr">
        <is>
          <t>Source: C0_BOM.csv, CDTFA rate 2026-10-01</t>
        </is>
      </c>
    </row>
    <row r="6">
      <c r="A6" s="5" t="inlineStr">
        <is>
          <t>Shipping allowance (estimate)</t>
        </is>
      </c>
      <c r="B6" s="7" t="n">
        <v>100</v>
      </c>
      <c r="C6" s="8" t="inlineStr">
        <is>
          <t>Source: C0_BOM.csv; estimate, price at checkout</t>
        </is>
      </c>
    </row>
    <row r="8">
      <c r="A8" s="6" t="inlineStr">
        <is>
          <t>Plan (BOM prices)</t>
        </is>
      </c>
    </row>
    <row r="9">
      <c r="A9" s="5" t="inlineStr">
        <is>
          <t>Goods subtotal (Buy lines)</t>
        </is>
      </c>
      <c r="B9" s="10">
        <f>SUMIFS(Inventory!$N$2:$N$500,Inventory!$C$2:$C$500,"Buy")</f>
        <v/>
      </c>
    </row>
    <row r="10">
      <c r="A10" s="5" t="inlineStr">
        <is>
          <t>Sales/use tax</t>
        </is>
      </c>
      <c r="B10" s="10">
        <f>B9*B5</f>
        <v/>
      </c>
    </row>
    <row r="11">
      <c r="A11" s="5" t="inlineStr">
        <is>
          <t>Shipping allowance</t>
        </is>
      </c>
      <c r="B11" s="10">
        <f>B6</f>
        <v/>
      </c>
    </row>
    <row r="12">
      <c r="A12" s="6" t="inlineStr">
        <is>
          <t>Committed spend</t>
        </is>
      </c>
      <c r="B12" s="11">
        <f>B9+B10+B11</f>
        <v/>
      </c>
    </row>
    <row r="13">
      <c r="A13" s="6" t="inlineStr">
        <is>
          <t>Crash reserve left under the cap</t>
        </is>
      </c>
      <c r="B13" s="11">
        <f>B4-B12</f>
        <v/>
      </c>
    </row>
    <row r="14">
      <c r="A14" s="5" t="inlineStr">
        <is>
          <t>Reserve check: BOM says $102.08</t>
        </is>
      </c>
      <c r="B14" s="5">
        <f>IF(ROUND(B13,1)=102.1,"matches C0_BOM.csv","differs from C0_BOM.csv: re-check")</f>
        <v/>
      </c>
    </row>
    <row r="16">
      <c r="A16" s="6" t="inlineStr">
        <is>
          <t>Actual spend (fill Actual USD on the Inventory tab, tax and shipping included)</t>
        </is>
      </c>
    </row>
    <row r="17">
      <c r="A17" s="5" t="inlineStr">
        <is>
          <t>Spent so far</t>
        </is>
      </c>
      <c r="B17" s="10">
        <f>SUM(Inventory!$O$2:$O$500)</f>
        <v/>
      </c>
    </row>
    <row r="18">
      <c r="A18" s="5" t="inlineStr">
        <is>
          <t>Left under the cap</t>
        </is>
      </c>
      <c r="B18" s="10">
        <f>B4-B17</f>
        <v/>
      </c>
    </row>
    <row r="20">
      <c r="A20" s="6" t="inlineStr">
        <is>
          <t>Nautical Wings carbon props (proposed, free)</t>
        </is>
      </c>
    </row>
    <row r="21">
      <c r="A21" s="5" t="inlineStr">
        <is>
          <t>Retail prop lines on hold (goods)</t>
        </is>
      </c>
      <c r="B21" s="10">
        <f>SUMIFS(Inventory!$N$2:$N$500,Inventory!$K$2:$K$500,"Hold*")</f>
        <v/>
      </c>
    </row>
    <row r="22">
      <c r="A22" s="5" t="inlineStr">
        <is>
          <t>Same with tax</t>
        </is>
      </c>
      <c r="B22" s="10">
        <f>B21*(1+B5)</f>
        <v/>
      </c>
    </row>
    <row r="23">
      <c r="A23" s="5" t="inlineStr">
        <is>
          <t>Reserve if the NWA props are confirmed (EST)</t>
        </is>
      </c>
      <c r="B23" s="10">
        <f>B13+B22</f>
        <v/>
      </c>
      <c r="C23" s="8" t="inlineStr">
        <is>
          <t>EST: assumes the props are free with no shipping or import cost; shipping allowance unchanged</t>
        </is>
      </c>
    </row>
    <row r="25">
      <c r="A25" s="6" t="inlineStr">
        <is>
          <t>By kit</t>
        </is>
      </c>
    </row>
    <row r="26">
      <c r="A26" s="12" t="inlineStr">
        <is>
          <t>Kit</t>
        </is>
      </c>
      <c r="B26" s="12" t="inlineStr">
        <is>
          <t>Name</t>
        </is>
      </c>
      <c r="C26" s="12" t="inlineStr">
        <is>
          <t>Lines</t>
        </is>
      </c>
      <c r="D26" s="12" t="inlineStr">
        <is>
          <t>Still to get (lines)</t>
        </is>
      </c>
      <c r="E26" s="12" t="inlineStr">
        <is>
          <t>Plan goods (USD)</t>
        </is>
      </c>
    </row>
    <row r="27">
      <c r="A27" s="5">
        <f>Lists!B2</f>
        <v/>
      </c>
      <c r="B27" s="5">
        <f>Lists!C2</f>
        <v/>
      </c>
      <c r="C27" s="5">
        <f>COUNTIFS(Inventory!$E$2:$E$500,A27)</f>
        <v/>
      </c>
      <c r="D27" s="5">
        <f>COUNTIFS(Inventory!$E$2:$E$500,A27,Inventory!$J$2:$J$500,"&gt;0")</f>
        <v/>
      </c>
      <c r="E27" s="10">
        <f>SUMIFS(Inventory!$N$2:$N$500,Inventory!$E$2:$E$500,A27,Inventory!$C$2:$C$500,"Buy")</f>
        <v/>
      </c>
    </row>
    <row r="28">
      <c r="A28" s="5">
        <f>Lists!B3</f>
        <v/>
      </c>
      <c r="B28" s="5">
        <f>Lists!C3</f>
        <v/>
      </c>
      <c r="C28" s="5">
        <f>COUNTIFS(Inventory!$E$2:$E$500,A28)</f>
        <v/>
      </c>
      <c r="D28" s="5">
        <f>COUNTIFS(Inventory!$E$2:$E$500,A28,Inventory!$J$2:$J$500,"&gt;0")</f>
        <v/>
      </c>
      <c r="E28" s="10">
        <f>SUMIFS(Inventory!$N$2:$N$500,Inventory!$E$2:$E$500,A28,Inventory!$C$2:$C$500,"Buy")</f>
        <v/>
      </c>
    </row>
    <row r="29">
      <c r="A29" s="5">
        <f>Lists!B4</f>
        <v/>
      </c>
      <c r="B29" s="5">
        <f>Lists!C4</f>
        <v/>
      </c>
      <c r="C29" s="5">
        <f>COUNTIFS(Inventory!$E$2:$E$500,A29)</f>
        <v/>
      </c>
      <c r="D29" s="5">
        <f>COUNTIFS(Inventory!$E$2:$E$500,A29,Inventory!$J$2:$J$500,"&gt;0")</f>
        <v/>
      </c>
      <c r="E29" s="10">
        <f>SUMIFS(Inventory!$N$2:$N$500,Inventory!$E$2:$E$500,A29,Inventory!$C$2:$C$500,"Buy")</f>
        <v/>
      </c>
    </row>
    <row r="30">
      <c r="A30" s="5">
        <f>Lists!B5</f>
        <v/>
      </c>
      <c r="B30" s="5">
        <f>Lists!C5</f>
        <v/>
      </c>
      <c r="C30" s="5">
        <f>COUNTIFS(Inventory!$E$2:$E$500,A30)</f>
        <v/>
      </c>
      <c r="D30" s="5">
        <f>COUNTIFS(Inventory!$E$2:$E$500,A30,Inventory!$J$2:$J$500,"&gt;0")</f>
        <v/>
      </c>
      <c r="E30" s="10">
        <f>SUMIFS(Inventory!$N$2:$N$500,Inventory!$E$2:$E$500,A30,Inventory!$C$2:$C$500,"Buy")</f>
        <v/>
      </c>
    </row>
    <row r="31">
      <c r="A31" s="5">
        <f>Lists!B6</f>
        <v/>
      </c>
      <c r="B31" s="5">
        <f>Lists!C6</f>
        <v/>
      </c>
      <c r="C31" s="5">
        <f>COUNTIFS(Inventory!$E$2:$E$500,A31)</f>
        <v/>
      </c>
      <c r="D31" s="5">
        <f>COUNTIFS(Inventory!$E$2:$E$500,A31,Inventory!$J$2:$J$500,"&gt;0")</f>
        <v/>
      </c>
      <c r="E31" s="10">
        <f>SUMIFS(Inventory!$N$2:$N$500,Inventory!$E$2:$E$500,A31,Inventory!$C$2:$C$500,"Buy")</f>
        <v/>
      </c>
    </row>
    <row r="32">
      <c r="A32" s="5">
        <f>Lists!B7</f>
        <v/>
      </c>
      <c r="B32" s="5">
        <f>Lists!C7</f>
        <v/>
      </c>
      <c r="C32" s="5">
        <f>COUNTIFS(Inventory!$E$2:$E$500,A32)</f>
        <v/>
      </c>
      <c r="D32" s="5">
        <f>COUNTIFS(Inventory!$E$2:$E$500,A32,Inventory!$J$2:$J$500,"&gt;0")</f>
        <v/>
      </c>
      <c r="E32" s="10">
        <f>SUMIFS(Inventory!$N$2:$N$500,Inventory!$E$2:$E$500,A32,Inventory!$C$2:$C$500,"Buy")</f>
        <v/>
      </c>
    </row>
    <row r="33">
      <c r="A33" s="5">
        <f>Lists!B8</f>
        <v/>
      </c>
      <c r="B33" s="5">
        <f>Lists!C8</f>
        <v/>
      </c>
      <c r="C33" s="5">
        <f>COUNTIFS(Inventory!$E$2:$E$500,A33)</f>
        <v/>
      </c>
      <c r="D33" s="5">
        <f>COUNTIFS(Inventory!$E$2:$E$500,A33,Inventory!$J$2:$J$500,"&gt;0")</f>
        <v/>
      </c>
      <c r="E33" s="10">
        <f>SUMIFS(Inventory!$N$2:$N$500,Inventory!$E$2:$E$500,A33,Inventory!$C$2:$C$500,"Buy")</f>
        <v/>
      </c>
    </row>
    <row r="34">
      <c r="A34" s="6" t="inlineStr">
        <is>
          <t>Total</t>
        </is>
      </c>
      <c r="C34" s="6">
        <f>SUM(C27:C33)</f>
        <v/>
      </c>
      <c r="D34" s="6">
        <f>SUM(D27:D33)</f>
        <v/>
      </c>
      <c r="E34" s="11">
        <f>SUM(E27:E33)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7" customWidth="1" min="3" max="3"/>
    <col width="16" customWidth="1" min="4" max="4"/>
    <col width="5" customWidth="1" min="5" max="5"/>
    <col width="16" customWidth="1" min="6" max="6"/>
    <col width="8" customWidth="1" min="7" max="7"/>
    <col width="8" customWidth="1" min="8" max="8"/>
    <col width="8" customWidth="1" min="9" max="9"/>
    <col width="9" customWidth="1" min="10" max="10"/>
    <col width="24" customWidth="1" min="11" max="11"/>
    <col width="18" customWidth="1" min="12" max="12"/>
    <col width="10" customWidth="1" min="13" max="13"/>
    <col width="10" customWidth="1" min="14" max="14"/>
    <col width="10" customWidth="1" min="15" max="15"/>
    <col width="9" customWidth="1" min="16" max="16"/>
    <col width="30" customWidth="1" min="17" max="17"/>
    <col width="10" customWidth="1" min="18" max="18"/>
    <col width="11" customWidth="1" min="19" max="19"/>
    <col width="11" customWidth="1" min="20" max="20"/>
    <col width="9" customWidth="1" min="21" max="21"/>
    <col width="30" customWidth="1" min="22" max="22"/>
    <col width="40" customWidth="1" min="23" max="23"/>
  </cols>
  <sheetData>
    <row r="1" ht="30" customHeight="1">
      <c r="A1" s="13" t="inlineStr">
        <is>
          <t>ID</t>
        </is>
      </c>
      <c r="B1" s="13" t="inlineStr">
        <is>
          <t>Item</t>
        </is>
      </c>
      <c r="C1" s="13" t="inlineStr">
        <is>
          <t>Type</t>
        </is>
      </c>
      <c r="D1" s="13" t="inlineStr">
        <is>
          <t>Category</t>
        </is>
      </c>
      <c r="E1" s="13" t="inlineStr">
        <is>
          <t>Kit</t>
        </is>
      </c>
      <c r="F1" s="13" t="inlineStr">
        <is>
          <t>CAD part</t>
        </is>
      </c>
      <c r="G1" s="13" t="inlineStr">
        <is>
          <t>Qty needed</t>
        </is>
      </c>
      <c r="H1" s="13" t="inlineStr">
        <is>
          <t>Qty ordered</t>
        </is>
      </c>
      <c r="I1" s="13" t="inlineStr">
        <is>
          <t>Qty on hand</t>
        </is>
      </c>
      <c r="J1" s="13" t="inlineStr">
        <is>
          <t>Qty still to get</t>
        </is>
      </c>
      <c r="K1" s="13" t="inlineStr">
        <is>
          <t>Status</t>
        </is>
      </c>
      <c r="L1" s="13" t="inlineStr">
        <is>
          <t>Vendor</t>
        </is>
      </c>
      <c r="M1" s="13" t="inlineStr">
        <is>
          <t>Unit USD</t>
        </is>
      </c>
      <c r="N1" s="13" t="inlineStr">
        <is>
          <t>Ext USD</t>
        </is>
      </c>
      <c r="O1" s="13" t="inlineStr">
        <is>
          <t>Actual USD</t>
        </is>
      </c>
      <c r="P1" s="13" t="inlineStr">
        <is>
          <t>Made from</t>
        </is>
      </c>
      <c r="Q1" s="13" t="inlineStr">
        <is>
          <t>Process</t>
        </is>
      </c>
      <c r="R1" s="13" t="inlineStr">
        <is>
          <t>Location</t>
        </is>
      </c>
      <c r="S1" s="13" t="inlineStr">
        <is>
          <t>Order date</t>
        </is>
      </c>
      <c r="T1" s="13" t="inlineStr">
        <is>
          <t>Received date</t>
        </is>
      </c>
      <c r="U1" s="13" t="inlineStr">
        <is>
          <t>Inspected</t>
        </is>
      </c>
      <c r="V1" s="13" t="inlineStr">
        <is>
          <t>Source</t>
        </is>
      </c>
      <c r="W1" s="13" t="inlineStr">
        <is>
          <t>Notes</t>
        </is>
      </c>
    </row>
    <row r="2">
      <c r="A2" s="14" t="inlineStr">
        <is>
          <t>P-01</t>
        </is>
      </c>
      <c r="B2" s="15" t="inlineStr">
        <is>
          <t>Polymaker PA6-CF20 500 g (motor mounts: HDT 173 °C)</t>
        </is>
      </c>
      <c r="C2" s="14" t="inlineStr">
        <is>
          <t>Buy</t>
        </is>
      </c>
      <c r="D2" s="14" t="inlineStr">
        <is>
          <t>Airframe</t>
        </is>
      </c>
      <c r="E2" s="14" t="inlineStr">
        <is>
          <t>K7</t>
        </is>
      </c>
      <c r="F2" s="14" t="n"/>
      <c r="G2" s="14" t="n">
        <v>1</v>
      </c>
      <c r="H2" s="16" t="n">
        <v>0</v>
      </c>
      <c r="I2" s="16" t="n">
        <v>0</v>
      </c>
      <c r="J2" s="14">
        <f>MAX(0,G2-I2-N(H2))</f>
        <v/>
      </c>
      <c r="K2" s="16" t="inlineStr">
        <is>
          <t>To order</t>
        </is>
      </c>
      <c r="L2" s="14" t="inlineStr">
        <is>
          <t>—</t>
        </is>
      </c>
      <c r="M2" s="17" t="n">
        <v>39.99</v>
      </c>
      <c r="N2" s="17">
        <f>G2*M2</f>
        <v/>
      </c>
      <c r="O2" s="18" t="n"/>
      <c r="P2" s="14" t="n"/>
      <c r="Q2" s="15" t="n"/>
      <c r="R2" s="16" t="inlineStr">
        <is>
          <t>—</t>
        </is>
      </c>
      <c r="S2" s="19" t="n"/>
      <c r="T2" s="19" t="n"/>
      <c r="U2" s="16" t="n"/>
      <c r="V2" s="15" t="inlineStr">
        <is>
          <t>C0_BOM.csv: AM §2d</t>
        </is>
      </c>
      <c r="W2" s="20" t="inlineStr">
        <is>
          <t>PETG too close to motor heat (sec. 12)</t>
        </is>
      </c>
    </row>
    <row r="3">
      <c r="A3" s="14" t="inlineStr">
        <is>
          <t>P-02</t>
        </is>
      </c>
      <c r="B3" s="15" t="inlineStr">
        <is>
          <t>Hot-wire bow, nichrome + bench supply (wing cores)</t>
        </is>
      </c>
      <c r="C3" s="14" t="inlineStr">
        <is>
          <t>Buy</t>
        </is>
      </c>
      <c r="D3" s="14" t="inlineStr">
        <is>
          <t>Airframe</t>
        </is>
      </c>
      <c r="E3" s="14" t="inlineStr">
        <is>
          <t>K7</t>
        </is>
      </c>
      <c r="F3" s="14" t="n"/>
      <c r="G3" s="14" t="n">
        <v>1</v>
      </c>
      <c r="H3" s="16" t="n">
        <v>0</v>
      </c>
      <c r="I3" s="16" t="n">
        <v>0</v>
      </c>
      <c r="J3" s="14">
        <f>MAX(0,G3-I3-N(H3))</f>
        <v/>
      </c>
      <c r="K3" s="16" t="inlineStr">
        <is>
          <t>To order</t>
        </is>
      </c>
      <c r="L3" s="14" t="inlineStr">
        <is>
          <t>—</t>
        </is>
      </c>
      <c r="M3" s="17" t="n">
        <v>40</v>
      </c>
      <c r="N3" s="17">
        <f>G3*M3</f>
        <v/>
      </c>
      <c r="O3" s="18" t="n"/>
      <c r="P3" s="14" t="n"/>
      <c r="Q3" s="15" t="n"/>
      <c r="R3" s="16" t="inlineStr">
        <is>
          <t>—</t>
        </is>
      </c>
      <c r="S3" s="19" t="n"/>
      <c r="T3" s="19" t="n"/>
      <c r="U3" s="16" t="n"/>
      <c r="V3" s="15" t="inlineStr">
        <is>
          <t>C0_BOM.csv: EST allowance</t>
        </is>
      </c>
      <c r="W3" s="20" t="inlineStr">
        <is>
          <t>not priced; borrow if a makerspace has one</t>
        </is>
      </c>
    </row>
    <row r="4">
      <c r="A4" s="14" t="inlineStr">
        <is>
          <t>P-03</t>
        </is>
      </c>
      <c r="B4" s="15" t="inlineStr">
        <is>
          <t>Scotch heavy-duty packing tape, 6 rolls (skin)</t>
        </is>
      </c>
      <c r="C4" s="14" t="inlineStr">
        <is>
          <t>Buy</t>
        </is>
      </c>
      <c r="D4" s="14" t="inlineStr">
        <is>
          <t>Airframe</t>
        </is>
      </c>
      <c r="E4" s="14" t="inlineStr">
        <is>
          <t>K7</t>
        </is>
      </c>
      <c r="F4" s="14" t="n"/>
      <c r="G4" s="14" t="n">
        <v>1</v>
      </c>
      <c r="H4" s="16" t="n">
        <v>0</v>
      </c>
      <c r="I4" s="16" t="n">
        <v>0</v>
      </c>
      <c r="J4" s="14">
        <f>MAX(0,G4-I4-N(H4))</f>
        <v/>
      </c>
      <c r="K4" s="16" t="inlineStr">
        <is>
          <t>To order</t>
        </is>
      </c>
      <c r="L4" s="14" t="inlineStr">
        <is>
          <t>Amazon</t>
        </is>
      </c>
      <c r="M4" s="17" t="n">
        <v>19.98</v>
      </c>
      <c r="N4" s="17">
        <f>G4*M4</f>
        <v/>
      </c>
      <c r="O4" s="18" t="n"/>
      <c r="P4" s="14" t="n"/>
      <c r="Q4" s="15" t="n"/>
      <c r="R4" s="16" t="inlineStr">
        <is>
          <t>—</t>
        </is>
      </c>
      <c r="S4" s="19" t="n"/>
      <c r="T4" s="19" t="n"/>
      <c r="U4" s="16" t="n"/>
      <c r="V4" s="15" t="inlineStr">
        <is>
          <t>C0_BOM.csv: BF §2 amazon.com</t>
        </is>
      </c>
      <c r="W4" s="20" t="n"/>
    </row>
    <row r="5">
      <c r="A5" s="14" t="inlineStr">
        <is>
          <t>P-04</t>
        </is>
      </c>
      <c r="B5" s="15" t="inlineStr">
        <is>
          <t>Hardware kit: XT90S, wire, extensions, screws, inserts, horns, pushrods, hinge tape, heat shrink, UBEC, epoxy</t>
        </is>
      </c>
      <c r="C5" s="14" t="inlineStr">
        <is>
          <t>Buy</t>
        </is>
      </c>
      <c r="D5" s="14" t="inlineStr">
        <is>
          <t>Airframe</t>
        </is>
      </c>
      <c r="E5" s="14" t="inlineStr">
        <is>
          <t>K7</t>
        </is>
      </c>
      <c r="F5" s="14" t="n"/>
      <c r="G5" s="14" t="n">
        <v>1</v>
      </c>
      <c r="H5" s="16" t="n">
        <v>0</v>
      </c>
      <c r="I5" s="16" t="n">
        <v>0</v>
      </c>
      <c r="J5" s="14">
        <f>MAX(0,G5-I5-N(H5))</f>
        <v/>
      </c>
      <c r="K5" s="16" t="inlineStr">
        <is>
          <t>To order</t>
        </is>
      </c>
      <c r="L5" s="14" t="inlineStr">
        <is>
          <t>Amazon</t>
        </is>
      </c>
      <c r="M5" s="17" t="n">
        <v>124.01</v>
      </c>
      <c r="N5" s="17">
        <f>G5*M5</f>
        <v/>
      </c>
      <c r="O5" s="18" t="n"/>
      <c r="P5" s="14" t="n"/>
      <c r="Q5" s="15" t="n"/>
      <c r="R5" s="16" t="inlineStr">
        <is>
          <t>—</t>
        </is>
      </c>
      <c r="S5" s="19" t="n"/>
      <c r="T5" s="19" t="n"/>
      <c r="U5" s="16" t="n"/>
      <c r="V5" s="15" t="inlineStr">
        <is>
          <t>C0_BOM.csv: BF §3 amazon.com (itemised in file)</t>
        </is>
      </c>
      <c r="W5" s="20" t="n"/>
    </row>
    <row r="6">
      <c r="A6" s="14" t="inlineStr">
        <is>
          <t>P-05</t>
        </is>
      </c>
      <c r="B6" s="15" t="inlineStr">
        <is>
          <t>ELEGOO PETG 1 kg (clamps, pod frames, gear clamps)</t>
        </is>
      </c>
      <c r="C6" s="14" t="inlineStr">
        <is>
          <t>Buy</t>
        </is>
      </c>
      <c r="D6" s="14" t="inlineStr">
        <is>
          <t>Airframe</t>
        </is>
      </c>
      <c r="E6" s="14" t="inlineStr">
        <is>
          <t>K7</t>
        </is>
      </c>
      <c r="F6" s="14" t="n"/>
      <c r="G6" s="14" t="n">
        <v>2</v>
      </c>
      <c r="H6" s="16" t="n">
        <v>0</v>
      </c>
      <c r="I6" s="16" t="n">
        <v>0</v>
      </c>
      <c r="J6" s="14">
        <f>MAX(0,G6-I6-N(H6))</f>
        <v/>
      </c>
      <c r="K6" s="16" t="inlineStr">
        <is>
          <t>To order</t>
        </is>
      </c>
      <c r="L6" s="14" t="inlineStr">
        <is>
          <t>Amazon</t>
        </is>
      </c>
      <c r="M6" s="17" t="n">
        <v>12.99</v>
      </c>
      <c r="N6" s="17">
        <f>G6*M6</f>
        <v/>
      </c>
      <c r="O6" s="18" t="n"/>
      <c r="P6" s="14" t="n"/>
      <c r="Q6" s="15" t="n"/>
      <c r="R6" s="16" t="inlineStr">
        <is>
          <t>—</t>
        </is>
      </c>
      <c r="S6" s="19" t="n"/>
      <c r="T6" s="19" t="n"/>
      <c r="U6" s="16" t="n"/>
      <c r="V6" s="15" t="inlineStr">
        <is>
          <t>C0_BOM.csv: BF §5</t>
        </is>
      </c>
      <c r="W6" s="20" t="n"/>
    </row>
    <row r="7">
      <c r="A7" s="14" t="inlineStr">
        <is>
          <t>P-06</t>
        </is>
      </c>
      <c r="B7" s="15" t="inlineStr">
        <is>
          <t>BNTECHGO 12 AWG silicone wire, 2nd pack (ESC feeds)</t>
        </is>
      </c>
      <c r="C7" s="14" t="inlineStr">
        <is>
          <t>Buy</t>
        </is>
      </c>
      <c r="D7" s="14" t="inlineStr">
        <is>
          <t>Airframe</t>
        </is>
      </c>
      <c r="E7" s="14" t="inlineStr">
        <is>
          <t>K7</t>
        </is>
      </c>
      <c r="F7" s="14" t="n"/>
      <c r="G7" s="14" t="n">
        <v>1</v>
      </c>
      <c r="H7" s="16" t="n">
        <v>0</v>
      </c>
      <c r="I7" s="16" t="n">
        <v>0</v>
      </c>
      <c r="J7" s="14">
        <f>MAX(0,G7-I7-N(H7))</f>
        <v/>
      </c>
      <c r="K7" s="16" t="inlineStr">
        <is>
          <t>To order</t>
        </is>
      </c>
      <c r="L7" s="14" t="inlineStr">
        <is>
          <t>Amazon</t>
        </is>
      </c>
      <c r="M7" s="17" t="n">
        <v>14.98</v>
      </c>
      <c r="N7" s="17">
        <f>G7*M7</f>
        <v/>
      </c>
      <c r="O7" s="18" t="n"/>
      <c r="P7" s="14" t="n"/>
      <c r="Q7" s="15" t="n"/>
      <c r="R7" s="16" t="inlineStr">
        <is>
          <t>—</t>
        </is>
      </c>
      <c r="S7" s="19" t="n"/>
      <c r="T7" s="19" t="n"/>
      <c r="U7" s="16" t="n"/>
      <c r="V7" s="15" t="inlineStr">
        <is>
          <t>C0_BOM.csv: BF §3a item 3 amazon.com</t>
        </is>
      </c>
      <c r="W7" s="20" t="n"/>
    </row>
    <row r="8">
      <c r="A8" s="14" t="inlineStr">
        <is>
          <t>P-07</t>
        </is>
      </c>
      <c r="B8" s="15" t="inlineStr">
        <is>
          <t>14 AWG silicone wire (pusher / BEC feeds)</t>
        </is>
      </c>
      <c r="C8" s="14" t="inlineStr">
        <is>
          <t>Buy</t>
        </is>
      </c>
      <c r="D8" s="14" t="inlineStr">
        <is>
          <t>Airframe</t>
        </is>
      </c>
      <c r="E8" s="14" t="inlineStr">
        <is>
          <t>K7</t>
        </is>
      </c>
      <c r="F8" s="14" t="n"/>
      <c r="G8" s="14" t="n">
        <v>1</v>
      </c>
      <c r="H8" s="16" t="n">
        <v>0</v>
      </c>
      <c r="I8" s="16" t="n">
        <v>0</v>
      </c>
      <c r="J8" s="14">
        <f>MAX(0,G8-I8-N(H8))</f>
        <v/>
      </c>
      <c r="K8" s="16" t="inlineStr">
        <is>
          <t>To order</t>
        </is>
      </c>
      <c r="L8" s="14" t="inlineStr">
        <is>
          <t>Amazon</t>
        </is>
      </c>
      <c r="M8" s="17" t="n">
        <v>9.99</v>
      </c>
      <c r="N8" s="17">
        <f>G8*M8</f>
        <v/>
      </c>
      <c r="O8" s="18" t="n"/>
      <c r="P8" s="14" t="n"/>
      <c r="Q8" s="15" t="n"/>
      <c r="R8" s="16" t="inlineStr">
        <is>
          <t>—</t>
        </is>
      </c>
      <c r="S8" s="19" t="n"/>
      <c r="T8" s="19" t="n"/>
      <c r="U8" s="16" t="n"/>
      <c r="V8" s="15" t="inlineStr">
        <is>
          <t>C0_BOM.csv: BF §3b amazon.com</t>
        </is>
      </c>
      <c r="W8" s="20" t="n"/>
    </row>
    <row r="9">
      <c r="A9" s="14" t="inlineStr">
        <is>
          <t>P-08</t>
        </is>
      </c>
      <c r="B9" s="15" t="inlineStr">
        <is>
          <t>XT60H connectors 12 pairs (boom harness disconnects)</t>
        </is>
      </c>
      <c r="C9" s="14" t="inlineStr">
        <is>
          <t>Buy</t>
        </is>
      </c>
      <c r="D9" s="14" t="inlineStr">
        <is>
          <t>Airframe</t>
        </is>
      </c>
      <c r="E9" s="14" t="inlineStr">
        <is>
          <t>K7</t>
        </is>
      </c>
      <c r="F9" s="14" t="n"/>
      <c r="G9" s="14" t="n">
        <v>1</v>
      </c>
      <c r="H9" s="16" t="n">
        <v>0</v>
      </c>
      <c r="I9" s="16" t="n">
        <v>0</v>
      </c>
      <c r="J9" s="14">
        <f>MAX(0,G9-I9-N(H9))</f>
        <v/>
      </c>
      <c r="K9" s="16" t="inlineStr">
        <is>
          <t>To order</t>
        </is>
      </c>
      <c r="L9" s="14" t="inlineStr">
        <is>
          <t>Amazon</t>
        </is>
      </c>
      <c r="M9" s="17" t="n">
        <v>6.99</v>
      </c>
      <c r="N9" s="17">
        <f>G9*M9</f>
        <v/>
      </c>
      <c r="O9" s="18" t="n"/>
      <c r="P9" s="14" t="n"/>
      <c r="Q9" s="15" t="n"/>
      <c r="R9" s="16" t="inlineStr">
        <is>
          <t>—</t>
        </is>
      </c>
      <c r="S9" s="19" t="n"/>
      <c r="T9" s="19" t="n"/>
      <c r="U9" s="16" t="n"/>
      <c r="V9" s="15" t="inlineStr">
        <is>
          <t>C0_BOM.csv: BF §3b amazon.com</t>
        </is>
      </c>
      <c r="W9" s="20" t="n"/>
    </row>
    <row r="10">
      <c r="A10" s="14" t="inlineStr">
        <is>
          <t>P-09</t>
        </is>
      </c>
      <c r="B10" s="15" t="inlineStr">
        <is>
          <t>300 mm servo extension leads, 2nd pack</t>
        </is>
      </c>
      <c r="C10" s="14" t="inlineStr">
        <is>
          <t>Buy</t>
        </is>
      </c>
      <c r="D10" s="14" t="inlineStr">
        <is>
          <t>Airframe</t>
        </is>
      </c>
      <c r="E10" s="14" t="inlineStr">
        <is>
          <t>K7</t>
        </is>
      </c>
      <c r="F10" s="14" t="n"/>
      <c r="G10" s="14" t="n">
        <v>1</v>
      </c>
      <c r="H10" s="16" t="n">
        <v>0</v>
      </c>
      <c r="I10" s="16" t="n">
        <v>0</v>
      </c>
      <c r="J10" s="14">
        <f>MAX(0,G10-I10-N(H10))</f>
        <v/>
      </c>
      <c r="K10" s="16" t="inlineStr">
        <is>
          <t>To order</t>
        </is>
      </c>
      <c r="L10" s="14" t="inlineStr">
        <is>
          <t>Amazon</t>
        </is>
      </c>
      <c r="M10" s="17" t="n">
        <v>6.99</v>
      </c>
      <c r="N10" s="17">
        <f>G10*M10</f>
        <v/>
      </c>
      <c r="O10" s="18" t="n"/>
      <c r="P10" s="14" t="n"/>
      <c r="Q10" s="15" t="n"/>
      <c r="R10" s="16" t="inlineStr">
        <is>
          <t>—</t>
        </is>
      </c>
      <c r="S10" s="19" t="n"/>
      <c r="T10" s="19" t="n"/>
      <c r="U10" s="16" t="n"/>
      <c r="V10" s="15" t="inlineStr">
        <is>
          <t>C0_BOM.csv: BF §3a item 4 amazon.com</t>
        </is>
      </c>
      <c r="W10" s="20" t="n"/>
    </row>
    <row r="11">
      <c r="A11" s="14" t="inlineStr">
        <is>
          <t>P-10</t>
        </is>
      </c>
      <c r="B11" s="15" t="inlineStr">
        <is>
          <t>Foam-safe glue 4 oz</t>
        </is>
      </c>
      <c r="C11" s="14" t="inlineStr">
        <is>
          <t>Buy</t>
        </is>
      </c>
      <c r="D11" s="14" t="inlineStr">
        <is>
          <t>Airframe</t>
        </is>
      </c>
      <c r="E11" s="14" t="inlineStr">
        <is>
          <t>K7</t>
        </is>
      </c>
      <c r="F11" s="14" t="n"/>
      <c r="G11" s="14" t="n">
        <v>1</v>
      </c>
      <c r="H11" s="16" t="n">
        <v>0</v>
      </c>
      <c r="I11" s="16" t="n">
        <v>0</v>
      </c>
      <c r="J11" s="14">
        <f>MAX(0,G11-I11-N(H11))</f>
        <v/>
      </c>
      <c r="K11" s="16" t="inlineStr">
        <is>
          <t>To order</t>
        </is>
      </c>
      <c r="L11" s="14" t="inlineStr">
        <is>
          <t>Amazon</t>
        </is>
      </c>
      <c r="M11" s="17" t="n">
        <v>12.99</v>
      </c>
      <c r="N11" s="17">
        <f>G11*M11</f>
        <v/>
      </c>
      <c r="O11" s="18" t="n"/>
      <c r="P11" s="14" t="n"/>
      <c r="Q11" s="15" t="n"/>
      <c r="R11" s="16" t="inlineStr">
        <is>
          <t>—</t>
        </is>
      </c>
      <c r="S11" s="19" t="n"/>
      <c r="T11" s="19" t="n"/>
      <c r="U11" s="16" t="n"/>
      <c r="V11" s="15" t="inlineStr">
        <is>
          <t>C0_BOM.csv: BF §3b amazon.com</t>
        </is>
      </c>
      <c r="W11" s="20" t="n"/>
    </row>
    <row r="12">
      <c r="A12" s="14" t="inlineStr">
        <is>
          <t>P-11</t>
        </is>
      </c>
      <c r="B12" s="15" t="inlineStr">
        <is>
          <t>ShareGoo LiPo battery straps (10)</t>
        </is>
      </c>
      <c r="C12" s="14" t="inlineStr">
        <is>
          <t>Buy</t>
        </is>
      </c>
      <c r="D12" s="14" t="inlineStr">
        <is>
          <t>Airframe</t>
        </is>
      </c>
      <c r="E12" s="14" t="inlineStr">
        <is>
          <t>K7</t>
        </is>
      </c>
      <c r="F12" s="14" t="n"/>
      <c r="G12" s="14" t="n">
        <v>1</v>
      </c>
      <c r="H12" s="16" t="n">
        <v>0</v>
      </c>
      <c r="I12" s="16" t="n">
        <v>0</v>
      </c>
      <c r="J12" s="14">
        <f>MAX(0,G12-I12-N(H12))</f>
        <v/>
      </c>
      <c r="K12" s="16" t="inlineStr">
        <is>
          <t>To order</t>
        </is>
      </c>
      <c r="L12" s="14" t="inlineStr">
        <is>
          <t>Amazon</t>
        </is>
      </c>
      <c r="M12" s="17" t="n">
        <v>7.99</v>
      </c>
      <c r="N12" s="17">
        <f>G12*M12</f>
        <v/>
      </c>
      <c r="O12" s="18" t="n"/>
      <c r="P12" s="14" t="n"/>
      <c r="Q12" s="15" t="n"/>
      <c r="R12" s="16" t="inlineStr">
        <is>
          <t>—</t>
        </is>
      </c>
      <c r="S12" s="19" t="n"/>
      <c r="T12" s="19" t="n"/>
      <c r="U12" s="16" t="n"/>
      <c r="V12" s="15" t="inlineStr">
        <is>
          <t>C0_BOM.csv: BF §3b amazon.com</t>
        </is>
      </c>
      <c r="W12" s="20" t="n"/>
    </row>
    <row r="13">
      <c r="A13" s="14" t="inlineStr">
        <is>
          <t>P-12</t>
        </is>
      </c>
      <c r="B13" s="15" t="inlineStr">
        <is>
          <t>Ovonic 6S 6500 100C — 2-pack listing (2 packs)</t>
        </is>
      </c>
      <c r="C13" s="14" t="inlineStr">
        <is>
          <t>Buy</t>
        </is>
      </c>
      <c r="D13" s="14" t="inlineStr">
        <is>
          <t>Energy</t>
        </is>
      </c>
      <c r="E13" s="14" t="inlineStr">
        <is>
          <t>K4</t>
        </is>
      </c>
      <c r="F13" s="14" t="inlineStr">
        <is>
          <t>Battery_6S_LiPo</t>
        </is>
      </c>
      <c r="G13" s="14" t="n">
        <v>1</v>
      </c>
      <c r="H13" s="16" t="n">
        <v>0</v>
      </c>
      <c r="I13" s="16" t="n">
        <v>0</v>
      </c>
      <c r="J13" s="14">
        <f>MAX(0,G13-I13-N(H13))</f>
        <v/>
      </c>
      <c r="K13" s="16" t="inlineStr">
        <is>
          <t>To order</t>
        </is>
      </c>
      <c r="L13" s="14" t="inlineStr">
        <is>
          <t>Amazon</t>
        </is>
      </c>
      <c r="M13" s="17" t="n">
        <v>138.99</v>
      </c>
      <c r="N13" s="17">
        <f>G13*M13</f>
        <v/>
      </c>
      <c r="O13" s="18" t="n"/>
      <c r="P13" s="14" t="n"/>
      <c r="Q13" s="15" t="n"/>
      <c r="R13" s="16" t="inlineStr">
        <is>
          <t>—</t>
        </is>
      </c>
      <c r="S13" s="19" t="n"/>
      <c r="T13" s="19" t="n"/>
      <c r="U13" s="16" t="n"/>
      <c r="V13" s="15" t="inlineStr">
        <is>
          <t>C0_BOM.csv: BE §1 amazon.com</t>
        </is>
      </c>
      <c r="W13" s="20" t="inlineStr">
        <is>
          <t>second pack per R7; EC5 leads: re-terminate to XT90S</t>
        </is>
      </c>
    </row>
    <row r="14">
      <c r="A14" s="14" t="inlineStr">
        <is>
          <t>P-13</t>
        </is>
      </c>
      <c r="B14" s="15" t="inlineStr">
        <is>
          <t>HTRC C150 charger (150 W, ~6 A on 6S)</t>
        </is>
      </c>
      <c r="C14" s="14" t="inlineStr">
        <is>
          <t>Buy</t>
        </is>
      </c>
      <c r="D14" s="14" t="inlineStr">
        <is>
          <t>Energy</t>
        </is>
      </c>
      <c r="E14" s="14" t="inlineStr">
        <is>
          <t>K6</t>
        </is>
      </c>
      <c r="F14" s="14" t="n"/>
      <c r="G14" s="14" t="n">
        <v>1</v>
      </c>
      <c r="H14" s="16" t="n">
        <v>0</v>
      </c>
      <c r="I14" s="16" t="n">
        <v>0</v>
      </c>
      <c r="J14" s="14">
        <f>MAX(0,G14-I14-N(H14))</f>
        <v/>
      </c>
      <c r="K14" s="16" t="inlineStr">
        <is>
          <t>To order</t>
        </is>
      </c>
      <c r="L14" s="14" t="inlineStr">
        <is>
          <t>Amazon</t>
        </is>
      </c>
      <c r="M14" s="17" t="n">
        <v>56.99</v>
      </c>
      <c r="N14" s="17">
        <f>G14*M14</f>
        <v/>
      </c>
      <c r="O14" s="18" t="n"/>
      <c r="P14" s="14" t="n"/>
      <c r="Q14" s="15" t="n"/>
      <c r="R14" s="16" t="inlineStr">
        <is>
          <t>—</t>
        </is>
      </c>
      <c r="S14" s="19" t="n"/>
      <c r="T14" s="19" t="n"/>
      <c r="U14" s="16" t="n"/>
      <c r="V14" s="15" t="inlineStr">
        <is>
          <t>C0_BOM.csv: BE §2 amazon.com/dp/B0H4QLJYHY</t>
        </is>
      </c>
      <c r="W14" s="20" t="n"/>
    </row>
    <row r="15">
      <c r="A15" s="14" t="inlineStr">
        <is>
          <t>P-14</t>
        </is>
      </c>
      <c r="B15" s="15" t="inlineStr">
        <is>
          <t>JeeFly 1755 carbon prop (pair)</t>
        </is>
      </c>
      <c r="C15" s="14" t="inlineStr">
        <is>
          <t>Buy</t>
        </is>
      </c>
      <c r="D15" s="14" t="inlineStr">
        <is>
          <t>Lift propulsion</t>
        </is>
      </c>
      <c r="E15" s="14" t="inlineStr">
        <is>
          <t>K2</t>
        </is>
      </c>
      <c r="F15" s="14" t="inlineStr">
        <is>
          <t>Lift_Prop</t>
        </is>
      </c>
      <c r="G15" s="14" t="n">
        <v>2</v>
      </c>
      <c r="H15" s="16" t="n">
        <v>0</v>
      </c>
      <c r="I15" s="16" t="n">
        <v>0</v>
      </c>
      <c r="J15" s="14">
        <f>MAX(0,G15-I15-N(H15))</f>
        <v/>
      </c>
      <c r="K15" s="16" t="inlineStr">
        <is>
          <t>Hold: NWA swap pending</t>
        </is>
      </c>
      <c r="L15" s="14" t="inlineStr">
        <is>
          <t>Amazon</t>
        </is>
      </c>
      <c r="M15" s="17" t="n">
        <v>18.6</v>
      </c>
      <c r="N15" s="17">
        <f>G15*M15</f>
        <v/>
      </c>
      <c r="O15" s="18" t="n"/>
      <c r="P15" s="14" t="n"/>
      <c r="Q15" s="15" t="n"/>
      <c r="R15" s="16" t="inlineStr">
        <is>
          <t>—</t>
        </is>
      </c>
      <c r="S15" s="19" t="n"/>
      <c r="T15" s="19" t="n"/>
      <c r="U15" s="16" t="n"/>
      <c r="V15" s="15" t="inlineStr">
        <is>
          <t>C0_BOM.csv: BL props amazon.com/dp/B0FJ21V736</t>
        </is>
      </c>
      <c r="W15" s="20" t="inlineStr">
        <is>
          <t>$4.99 delivery, likely CN; Retail fallback if the Nautical Wings carbon props are not confirmed</t>
        </is>
      </c>
    </row>
    <row r="16">
      <c r="A16" s="14" t="inlineStr">
        <is>
          <t>P-15</t>
        </is>
      </c>
      <c r="B16" s="15" t="inlineStr">
        <is>
          <t>SoloGood 45A ESC (4-pack)</t>
        </is>
      </c>
      <c r="C16" s="14" t="inlineStr">
        <is>
          <t>Buy</t>
        </is>
      </c>
      <c r="D16" s="14" t="inlineStr">
        <is>
          <t>Lift propulsion</t>
        </is>
      </c>
      <c r="E16" s="14" t="inlineStr">
        <is>
          <t>K2</t>
        </is>
      </c>
      <c r="F16" s="14" t="n"/>
      <c r="G16" s="14" t="n">
        <v>2</v>
      </c>
      <c r="H16" s="16" t="n">
        <v>0</v>
      </c>
      <c r="I16" s="16" t="n">
        <v>0</v>
      </c>
      <c r="J16" s="14">
        <f>MAX(0,G16-I16-N(H16))</f>
        <v/>
      </c>
      <c r="K16" s="16" t="inlineStr">
        <is>
          <t>To order</t>
        </is>
      </c>
      <c r="L16" s="14" t="inlineStr">
        <is>
          <t>Amazon</t>
        </is>
      </c>
      <c r="M16" s="17" t="n">
        <v>39.99</v>
      </c>
      <c r="N16" s="17">
        <f>G16*M16</f>
        <v/>
      </c>
      <c r="O16" s="18" t="n"/>
      <c r="P16" s="14" t="n"/>
      <c r="Q16" s="15" t="n"/>
      <c r="R16" s="16" t="inlineStr">
        <is>
          <t>—</t>
        </is>
      </c>
      <c r="S16" s="19" t="n"/>
      <c r="T16" s="19" t="n"/>
      <c r="U16" s="16" t="n"/>
      <c r="V16" s="15" t="inlineStr">
        <is>
          <t>C0_BOM.csv: BL ESCs amazon.com</t>
        </is>
      </c>
      <c r="W16" s="20" t="inlineStr">
        <is>
          <t>4 lift + pusher + 3 spare; low stock: fallback LANRC 35A</t>
        </is>
      </c>
    </row>
    <row r="17">
      <c r="A17" s="14" t="inlineStr">
        <is>
          <t>P-16</t>
        </is>
      </c>
      <c r="B17" s="15" t="inlineStr">
        <is>
          <t>JeeFly 1755 spare pair (amazon.com)</t>
        </is>
      </c>
      <c r="C17" s="14" t="inlineStr">
        <is>
          <t>Buy</t>
        </is>
      </c>
      <c r="D17" s="14" t="inlineStr">
        <is>
          <t>Spares</t>
        </is>
      </c>
      <c r="E17" s="14" t="inlineStr">
        <is>
          <t>K2</t>
        </is>
      </c>
      <c r="F17" s="14" t="n"/>
      <c r="G17" s="14" t="n">
        <v>1</v>
      </c>
      <c r="H17" s="16" t="n">
        <v>0</v>
      </c>
      <c r="I17" s="16" t="n">
        <v>0</v>
      </c>
      <c r="J17" s="14">
        <f>MAX(0,G17-I17-N(H17))</f>
        <v/>
      </c>
      <c r="K17" s="16" t="inlineStr">
        <is>
          <t>Hold: NWA swap pending</t>
        </is>
      </c>
      <c r="L17" s="14" t="inlineStr">
        <is>
          <t>Amazon</t>
        </is>
      </c>
      <c r="M17" s="17" t="n">
        <v>18.6</v>
      </c>
      <c r="N17" s="17">
        <f>G17*M17</f>
        <v/>
      </c>
      <c r="O17" s="18" t="n"/>
      <c r="P17" s="14" t="n"/>
      <c r="Q17" s="15" t="n"/>
      <c r="R17" s="16" t="inlineStr">
        <is>
          <t>—</t>
        </is>
      </c>
      <c r="S17" s="19" t="n"/>
      <c r="T17" s="19" t="n"/>
      <c r="U17" s="16" t="n"/>
      <c r="V17" s="15" t="inlineStr">
        <is>
          <t>C0_BOM.csv: BL</t>
        </is>
      </c>
      <c r="W17" s="20" t="inlineStr">
        <is>
          <t>Retail fallback if the Nautical Wings carbon props are not confirmed</t>
        </is>
      </c>
    </row>
    <row r="18">
      <c r="A18" s="14" t="inlineStr">
        <is>
          <t>P-17</t>
        </is>
      </c>
      <c r="B18" s="15" t="inlineStr">
        <is>
          <t>Du-Bro 230 pushrod 5-pack (spares)</t>
        </is>
      </c>
      <c r="C18" s="14" t="inlineStr">
        <is>
          <t>Buy</t>
        </is>
      </c>
      <c r="D18" s="14" t="inlineStr">
        <is>
          <t>Spares</t>
        </is>
      </c>
      <c r="E18" s="14" t="inlineStr">
        <is>
          <t>K7</t>
        </is>
      </c>
      <c r="F18" s="14" t="n"/>
      <c r="G18" s="14" t="n">
        <v>1</v>
      </c>
      <c r="H18" s="16" t="n">
        <v>0</v>
      </c>
      <c r="I18" s="16" t="n">
        <v>0</v>
      </c>
      <c r="J18" s="14">
        <f>MAX(0,G18-I18-N(H18))</f>
        <v/>
      </c>
      <c r="K18" s="16" t="inlineStr">
        <is>
          <t>To order</t>
        </is>
      </c>
      <c r="L18" s="14" t="inlineStr">
        <is>
          <t>Amazon</t>
        </is>
      </c>
      <c r="M18" s="17" t="n">
        <v>12.48</v>
      </c>
      <c r="N18" s="17">
        <f>G18*M18</f>
        <v/>
      </c>
      <c r="O18" s="18" t="n"/>
      <c r="P18" s="14" t="n"/>
      <c r="Q18" s="15" t="n"/>
      <c r="R18" s="16" t="inlineStr">
        <is>
          <t>—</t>
        </is>
      </c>
      <c r="S18" s="19" t="n"/>
      <c r="T18" s="19" t="n"/>
      <c r="U18" s="16" t="n"/>
      <c r="V18" s="15" t="inlineStr">
        <is>
          <t>C0_BOM.csv: BF §3b amazon.com</t>
        </is>
      </c>
      <c r="W18" s="20" t="n"/>
    </row>
    <row r="19">
      <c r="A19" s="14" t="inlineStr">
        <is>
          <t>P-18</t>
        </is>
      </c>
      <c r="B19" s="15" t="inlineStr">
        <is>
          <t>Tenergy LiPo bag</t>
        </is>
      </c>
      <c r="C19" s="14" t="inlineStr">
        <is>
          <t>Buy</t>
        </is>
      </c>
      <c r="D19" s="14" t="inlineStr">
        <is>
          <t>Test &amp; safety</t>
        </is>
      </c>
      <c r="E19" s="14" t="inlineStr">
        <is>
          <t>K6</t>
        </is>
      </c>
      <c r="F19" s="14" t="n"/>
      <c r="G19" s="14" t="n">
        <v>1</v>
      </c>
      <c r="H19" s="16" t="n">
        <v>0</v>
      </c>
      <c r="I19" s="16" t="n">
        <v>0</v>
      </c>
      <c r="J19" s="14">
        <f>MAX(0,G19-I19-N(H19))</f>
        <v/>
      </c>
      <c r="K19" s="16" t="inlineStr">
        <is>
          <t>To order</t>
        </is>
      </c>
      <c r="L19" s="14" t="inlineStr">
        <is>
          <t>Amazon</t>
        </is>
      </c>
      <c r="M19" s="17" t="n">
        <v>8.99</v>
      </c>
      <c r="N19" s="17">
        <f>G19*M19</f>
        <v/>
      </c>
      <c r="O19" s="18" t="n"/>
      <c r="P19" s="14" t="n"/>
      <c r="Q19" s="15" t="n"/>
      <c r="R19" s="16" t="inlineStr">
        <is>
          <t>—</t>
        </is>
      </c>
      <c r="S19" s="19" t="n"/>
      <c r="T19" s="19" t="n"/>
      <c r="U19" s="16" t="n"/>
      <c r="V19" s="15" t="inlineStr">
        <is>
          <t>C0_BOM.csv: BE §3</t>
        </is>
      </c>
      <c r="W19" s="20" t="n"/>
    </row>
    <row r="20">
      <c r="A20" s="14" t="inlineStr">
        <is>
          <t>P-19</t>
        </is>
      </c>
      <c r="B20" s="15" t="inlineStr">
        <is>
          <t>Watt meter 150 A / 60 V</t>
        </is>
      </c>
      <c r="C20" s="14" t="inlineStr">
        <is>
          <t>Buy</t>
        </is>
      </c>
      <c r="D20" s="14" t="inlineStr">
        <is>
          <t>Test &amp; safety</t>
        </is>
      </c>
      <c r="E20" s="14" t="inlineStr">
        <is>
          <t>K6</t>
        </is>
      </c>
      <c r="F20" s="14" t="n"/>
      <c r="G20" s="14" t="n">
        <v>1</v>
      </c>
      <c r="H20" s="16" t="n">
        <v>0</v>
      </c>
      <c r="I20" s="16" t="n">
        <v>0</v>
      </c>
      <c r="J20" s="14">
        <f>MAX(0,G20-I20-N(H20))</f>
        <v/>
      </c>
      <c r="K20" s="16" t="inlineStr">
        <is>
          <t>To order</t>
        </is>
      </c>
      <c r="L20" s="14" t="inlineStr">
        <is>
          <t>Amazon</t>
        </is>
      </c>
      <c r="M20" s="17" t="n">
        <v>12.99</v>
      </c>
      <c r="N20" s="17">
        <f>G20*M20</f>
        <v/>
      </c>
      <c r="O20" s="18" t="n"/>
      <c r="P20" s="14" t="n"/>
      <c r="Q20" s="15" t="n"/>
      <c r="R20" s="16" t="inlineStr">
        <is>
          <t>—</t>
        </is>
      </c>
      <c r="S20" s="19" t="n"/>
      <c r="T20" s="19" t="n"/>
      <c r="U20" s="16" t="n"/>
      <c r="V20" s="15" t="inlineStr">
        <is>
          <t>C0_BOM.csv: BE §3</t>
        </is>
      </c>
      <c r="W20" s="20" t="n"/>
    </row>
    <row r="21">
      <c r="A21" s="14" t="inlineStr">
        <is>
          <t>P-20</t>
        </is>
      </c>
      <c r="B21" s="15" t="inlineStr">
        <is>
          <t>IR thermometer</t>
        </is>
      </c>
      <c r="C21" s="14" t="inlineStr">
        <is>
          <t>Buy</t>
        </is>
      </c>
      <c r="D21" s="14" t="inlineStr">
        <is>
          <t>Test &amp; safety</t>
        </is>
      </c>
      <c r="E21" s="14" t="inlineStr">
        <is>
          <t>K6</t>
        </is>
      </c>
      <c r="F21" s="14" t="n"/>
      <c r="G21" s="14" t="n">
        <v>1</v>
      </c>
      <c r="H21" s="16" t="n">
        <v>0</v>
      </c>
      <c r="I21" s="16" t="n">
        <v>0</v>
      </c>
      <c r="J21" s="14">
        <f>MAX(0,G21-I21-N(H21))</f>
        <v/>
      </c>
      <c r="K21" s="16" t="inlineStr">
        <is>
          <t>To order</t>
        </is>
      </c>
      <c r="L21" s="14" t="inlineStr">
        <is>
          <t>Amazon</t>
        </is>
      </c>
      <c r="M21" s="17" t="n">
        <v>8.98</v>
      </c>
      <c r="N21" s="17">
        <f>G21*M21</f>
        <v/>
      </c>
      <c r="O21" s="18" t="n"/>
      <c r="P21" s="14" t="n"/>
      <c r="Q21" s="15" t="n"/>
      <c r="R21" s="16" t="inlineStr">
        <is>
          <t>—</t>
        </is>
      </c>
      <c r="S21" s="19" t="n"/>
      <c r="T21" s="19" t="n"/>
      <c r="U21" s="16" t="n"/>
      <c r="V21" s="15" t="inlineStr">
        <is>
          <t>C0_BOM.csv: BE §3</t>
        </is>
      </c>
      <c r="W21" s="20" t="n"/>
    </row>
    <row r="22">
      <c r="A22" s="14" t="inlineStr">
        <is>
          <t>P-21</t>
        </is>
      </c>
      <c r="B22" s="15" t="inlineStr">
        <is>
          <t>20 kg load cell + HX711 kit (thrust stand)</t>
        </is>
      </c>
      <c r="C22" s="14" t="inlineStr">
        <is>
          <t>Buy</t>
        </is>
      </c>
      <c r="D22" s="14" t="inlineStr">
        <is>
          <t>Test &amp; safety</t>
        </is>
      </c>
      <c r="E22" s="14" t="inlineStr">
        <is>
          <t>K6</t>
        </is>
      </c>
      <c r="F22" s="14" t="n"/>
      <c r="G22" s="14" t="n">
        <v>1</v>
      </c>
      <c r="H22" s="16" t="n">
        <v>0</v>
      </c>
      <c r="I22" s="16" t="n">
        <v>0</v>
      </c>
      <c r="J22" s="14">
        <f>MAX(0,G22-I22-N(H22))</f>
        <v/>
      </c>
      <c r="K22" s="16" t="inlineStr">
        <is>
          <t>To order</t>
        </is>
      </c>
      <c r="L22" s="14" t="inlineStr">
        <is>
          <t>Amazon</t>
        </is>
      </c>
      <c r="M22" s="17" t="n">
        <v>8.98</v>
      </c>
      <c r="N22" s="17">
        <f>G22*M22</f>
        <v/>
      </c>
      <c r="O22" s="18" t="n"/>
      <c r="P22" s="14" t="n"/>
      <c r="Q22" s="15" t="n"/>
      <c r="R22" s="16" t="inlineStr">
        <is>
          <t>—</t>
        </is>
      </c>
      <c r="S22" s="19" t="n"/>
      <c r="T22" s="19" t="n"/>
      <c r="U22" s="16" t="n"/>
      <c r="V22" s="15" t="inlineStr">
        <is>
          <t>C0_BOM.csv: BE §4</t>
        </is>
      </c>
      <c r="W22" s="20" t="n"/>
    </row>
    <row r="23">
      <c r="A23" s="14" t="inlineStr">
        <is>
          <t>P-22</t>
        </is>
      </c>
      <c r="B23" s="15" t="inlineStr">
        <is>
          <t>Arduino Nano clone (thrust stand)</t>
        </is>
      </c>
      <c r="C23" s="14" t="inlineStr">
        <is>
          <t>Buy</t>
        </is>
      </c>
      <c r="D23" s="14" t="inlineStr">
        <is>
          <t>Test &amp; safety</t>
        </is>
      </c>
      <c r="E23" s="14" t="inlineStr">
        <is>
          <t>K6</t>
        </is>
      </c>
      <c r="F23" s="14" t="n"/>
      <c r="G23" s="14" t="n">
        <v>1</v>
      </c>
      <c r="H23" s="16" t="n">
        <v>0</v>
      </c>
      <c r="I23" s="16" t="n">
        <v>0</v>
      </c>
      <c r="J23" s="14">
        <f>MAX(0,G23-I23-N(H23))</f>
        <v/>
      </c>
      <c r="K23" s="16" t="inlineStr">
        <is>
          <t>To order</t>
        </is>
      </c>
      <c r="L23" s="14" t="inlineStr">
        <is>
          <t>Amazon</t>
        </is>
      </c>
      <c r="M23" s="17" t="n">
        <v>8.99</v>
      </c>
      <c r="N23" s="17">
        <f>G23*M23</f>
        <v/>
      </c>
      <c r="O23" s="18" t="n"/>
      <c r="P23" s="14" t="n"/>
      <c r="Q23" s="15" t="n"/>
      <c r="R23" s="16" t="inlineStr">
        <is>
          <t>—</t>
        </is>
      </c>
      <c r="S23" s="19" t="n"/>
      <c r="T23" s="19" t="n"/>
      <c r="U23" s="16" t="n"/>
      <c r="V23" s="15" t="inlineStr">
        <is>
          <t>C0_BOM.csv: BE §4</t>
        </is>
      </c>
      <c r="W23" s="20" t="n"/>
    </row>
    <row r="24">
      <c r="A24" s="14" t="inlineStr">
        <is>
          <t>P-23</t>
        </is>
      </c>
      <c r="B24" s="15" t="inlineStr">
        <is>
          <t>APC 14x8.5EP pusher prop</t>
        </is>
      </c>
      <c r="C24" s="14" t="inlineStr">
        <is>
          <t>Buy</t>
        </is>
      </c>
      <c r="D24" s="14" t="inlineStr">
        <is>
          <t>Cruise propulsion</t>
        </is>
      </c>
      <c r="E24" s="14" t="inlineStr">
        <is>
          <t>K4</t>
        </is>
      </c>
      <c r="F24" s="14" t="inlineStr">
        <is>
          <t>Pusher_Prop_14in</t>
        </is>
      </c>
      <c r="G24" s="14" t="n">
        <v>3</v>
      </c>
      <c r="H24" s="16" t="n">
        <v>0</v>
      </c>
      <c r="I24" s="16" t="n">
        <v>0</v>
      </c>
      <c r="J24" s="14">
        <f>MAX(0,G24-I24-N(H24))</f>
        <v/>
      </c>
      <c r="K24" s="16" t="inlineStr">
        <is>
          <t>Hold: NWA swap pending</t>
        </is>
      </c>
      <c r="L24" s="14" t="inlineStr">
        <is>
          <t>APC Propellers</t>
        </is>
      </c>
      <c r="M24" s="17" t="n">
        <v>6.79</v>
      </c>
      <c r="N24" s="17">
        <f>G24*M24</f>
        <v/>
      </c>
      <c r="O24" s="18" t="n"/>
      <c r="P24" s="14" t="n"/>
      <c r="Q24" s="15" t="n"/>
      <c r="R24" s="16" t="inlineStr">
        <is>
          <t>—</t>
        </is>
      </c>
      <c r="S24" s="19" t="n"/>
      <c r="T24" s="19" t="n"/>
      <c r="U24" s="16" t="n"/>
      <c r="V24" s="15" t="inlineStr">
        <is>
          <t>C0_BOM.csv: PB 1c</t>
        </is>
      </c>
      <c r="W24" s="20" t="inlineStr">
        <is>
          <t>Retail fallback if the Nautical Wings carbon props are not confirmed</t>
        </is>
      </c>
    </row>
    <row r="25">
      <c r="A25" s="14" t="inlineStr">
        <is>
          <t>P-24</t>
        </is>
      </c>
      <c r="B25" s="15" t="inlineStr">
        <is>
          <t>EMAX ES3005HV servo</t>
        </is>
      </c>
      <c r="C25" s="14" t="inlineStr">
        <is>
          <t>Buy</t>
        </is>
      </c>
      <c r="D25" s="14" t="inlineStr">
        <is>
          <t>Controls</t>
        </is>
      </c>
      <c r="E25" s="14" t="inlineStr">
        <is>
          <t>K1</t>
        </is>
      </c>
      <c r="F25" s="14" t="n"/>
      <c r="G25" s="14" t="n">
        <v>5</v>
      </c>
      <c r="H25" s="16" t="n">
        <v>0</v>
      </c>
      <c r="I25" s="16" t="n">
        <v>0</v>
      </c>
      <c r="J25" s="14">
        <f>MAX(0,G25-I25-N(H25))</f>
        <v/>
      </c>
      <c r="K25" s="16" t="inlineStr">
        <is>
          <t>To order</t>
        </is>
      </c>
      <c r="L25" s="14" t="inlineStr">
        <is>
          <t>EMAX USA</t>
        </is>
      </c>
      <c r="M25" s="17" t="n">
        <v>19.99</v>
      </c>
      <c r="N25" s="17">
        <f>G25*M25</f>
        <v/>
      </c>
      <c r="O25" s="18" t="n"/>
      <c r="P25" s="14" t="n"/>
      <c r="Q25" s="15" t="n"/>
      <c r="R25" s="16" t="inlineStr">
        <is>
          <t>—</t>
        </is>
      </c>
      <c r="S25" s="19" t="n"/>
      <c r="T25" s="19" t="n"/>
      <c r="U25" s="16" t="n"/>
      <c r="V25" s="15" t="inlineStr">
        <is>
          <t>C0_BOM.csv: BA §6 shop.emax-usa.com</t>
        </is>
      </c>
      <c r="W25" s="20" t="inlineStr">
        <is>
          <t>2 ailerons, elevator, 2 rudders</t>
        </is>
      </c>
    </row>
    <row r="26">
      <c r="A26" s="14" t="inlineStr">
        <is>
          <t>P-25</t>
        </is>
      </c>
      <c r="B26" s="15" t="inlineStr">
        <is>
          <t>EMAX ES3005HV spare servo</t>
        </is>
      </c>
      <c r="C26" s="14" t="inlineStr">
        <is>
          <t>Buy</t>
        </is>
      </c>
      <c r="D26" s="14" t="inlineStr">
        <is>
          <t>Spares</t>
        </is>
      </c>
      <c r="E26" s="14" t="inlineStr">
        <is>
          <t>K1</t>
        </is>
      </c>
      <c r="F26" s="14" t="n"/>
      <c r="G26" s="14" t="n">
        <v>1</v>
      </c>
      <c r="H26" s="16" t="n">
        <v>0</v>
      </c>
      <c r="I26" s="16" t="n">
        <v>0</v>
      </c>
      <c r="J26" s="14">
        <f>MAX(0,G26-I26-N(H26))</f>
        <v/>
      </c>
      <c r="K26" s="16" t="inlineStr">
        <is>
          <t>To order</t>
        </is>
      </c>
      <c r="L26" s="14" t="inlineStr">
        <is>
          <t>EMAX USA</t>
        </is>
      </c>
      <c r="M26" s="17" t="n">
        <v>19.99</v>
      </c>
      <c r="N26" s="17">
        <f>G26*M26</f>
        <v/>
      </c>
      <c r="O26" s="18" t="n"/>
      <c r="P26" s="14" t="n"/>
      <c r="Q26" s="15" t="n"/>
      <c r="R26" s="16" t="inlineStr">
        <is>
          <t>—</t>
        </is>
      </c>
      <c r="S26" s="19" t="n"/>
      <c r="T26" s="19" t="n"/>
      <c r="U26" s="16" t="n"/>
      <c r="V26" s="15" t="inlineStr">
        <is>
          <t>C0_BOM.csv: BA §6</t>
        </is>
      </c>
      <c r="W26" s="20" t="n"/>
    </row>
    <row r="27">
      <c r="A27" s="14" t="inlineStr">
        <is>
          <t>P-26</t>
        </is>
      </c>
      <c r="B27" s="15" t="inlineStr">
        <is>
          <t>Harbor Freight 0.50 cal ammo can (pack storage)</t>
        </is>
      </c>
      <c r="C27" s="14" t="inlineStr">
        <is>
          <t>Buy</t>
        </is>
      </c>
      <c r="D27" s="14" t="inlineStr">
        <is>
          <t>Test &amp; safety</t>
        </is>
      </c>
      <c r="E27" s="14" t="inlineStr">
        <is>
          <t>K6</t>
        </is>
      </c>
      <c r="F27" s="14" t="n"/>
      <c r="G27" s="14" t="n">
        <v>1</v>
      </c>
      <c r="H27" s="16" t="n">
        <v>0</v>
      </c>
      <c r="I27" s="16" t="n">
        <v>0</v>
      </c>
      <c r="J27" s="14">
        <f>MAX(0,G27-I27-N(H27))</f>
        <v/>
      </c>
      <c r="K27" s="16" t="inlineStr">
        <is>
          <t>To order</t>
        </is>
      </c>
      <c r="L27" s="14" t="inlineStr">
        <is>
          <t>Harbor Freight</t>
        </is>
      </c>
      <c r="M27" s="17" t="n">
        <v>19.99</v>
      </c>
      <c r="N27" s="17">
        <f>G27*M27</f>
        <v/>
      </c>
      <c r="O27" s="18" t="n"/>
      <c r="P27" s="14" t="n"/>
      <c r="Q27" s="15" t="n"/>
      <c r="R27" s="16" t="inlineStr">
        <is>
          <t>—</t>
        </is>
      </c>
      <c r="S27" s="19" t="n"/>
      <c r="T27" s="19" t="n"/>
      <c r="U27" s="16" t="n"/>
      <c r="V27" s="15" t="inlineStr">
        <is>
          <t>C0_BOM.csv: BE §3</t>
        </is>
      </c>
      <c r="W27" s="20" t="n"/>
    </row>
    <row r="28">
      <c r="A28" s="14" t="inlineStr">
        <is>
          <t>P-27</t>
        </is>
      </c>
      <c r="B28" s="15" t="inlineStr">
        <is>
          <t>Holybro MS5525DSO + PT40 airspeed</t>
        </is>
      </c>
      <c r="C28" s="14" t="inlineStr">
        <is>
          <t>Buy</t>
        </is>
      </c>
      <c r="D28" s="14" t="inlineStr">
        <is>
          <t>Avionics</t>
        </is>
      </c>
      <c r="E28" s="14" t="inlineStr">
        <is>
          <t>K4</t>
        </is>
      </c>
      <c r="F28" s="14" t="inlineStr">
        <is>
          <t>Pitot_Tube</t>
        </is>
      </c>
      <c r="G28" s="14" t="n">
        <v>1</v>
      </c>
      <c r="H28" s="16" t="n">
        <v>0</v>
      </c>
      <c r="I28" s="16" t="n">
        <v>0</v>
      </c>
      <c r="J28" s="14">
        <f>MAX(0,G28-I28-N(H28))</f>
        <v/>
      </c>
      <c r="K28" s="16" t="inlineStr">
        <is>
          <t>To order</t>
        </is>
      </c>
      <c r="L28" s="14" t="inlineStr">
        <is>
          <t>Holybro (ships CN)</t>
        </is>
      </c>
      <c r="M28" s="17" t="n">
        <v>59.99</v>
      </c>
      <c r="N28" s="17">
        <f>G28*M28</f>
        <v/>
      </c>
      <c r="O28" s="18" t="n"/>
      <c r="P28" s="14" t="n"/>
      <c r="Q28" s="15" t="n"/>
      <c r="R28" s="16" t="inlineStr">
        <is>
          <t>—</t>
        </is>
      </c>
      <c r="S28" s="19" t="n"/>
      <c r="T28" s="19" t="n"/>
      <c r="U28" s="16" t="n"/>
      <c r="V28" s="15" t="inlineStr">
        <is>
          <t>C0_BOM.csv: BA §3 holybro.com</t>
        </is>
      </c>
      <c r="W28" s="20" t="inlineStr">
        <is>
          <t>ships CN</t>
        </is>
      </c>
    </row>
    <row r="29">
      <c r="A29" s="14" t="inlineStr">
        <is>
          <t>P-28</t>
        </is>
      </c>
      <c r="B29" s="15" t="inlineStr">
        <is>
          <t>FOAMULAR NGX F-250 2 in x 4 x 8 ft (wing cores)</t>
        </is>
      </c>
      <c r="C29" s="14" t="inlineStr">
        <is>
          <t>Buy</t>
        </is>
      </c>
      <c r="D29" s="14" t="inlineStr">
        <is>
          <t>Airframe</t>
        </is>
      </c>
      <c r="E29" s="14" t="inlineStr">
        <is>
          <t>K7</t>
        </is>
      </c>
      <c r="F29" s="14" t="n"/>
      <c r="G29" s="14" t="n">
        <v>1</v>
      </c>
      <c r="H29" s="16" t="n">
        <v>0</v>
      </c>
      <c r="I29" s="16" t="n">
        <v>0</v>
      </c>
      <c r="J29" s="14">
        <f>MAX(0,G29-I29-N(H29))</f>
        <v/>
      </c>
      <c r="K29" s="16" t="inlineStr">
        <is>
          <t>To order</t>
        </is>
      </c>
      <c r="L29" s="14" t="inlineStr">
        <is>
          <t>Home Depot</t>
        </is>
      </c>
      <c r="M29" s="17" t="n">
        <v>59.97</v>
      </c>
      <c r="N29" s="17">
        <f>G29*M29</f>
        <v/>
      </c>
      <c r="O29" s="18" t="n"/>
      <c r="P29" s="14" t="n"/>
      <c r="Q29" s="15" t="n"/>
      <c r="R29" s="16" t="inlineStr">
        <is>
          <t>—</t>
        </is>
      </c>
      <c r="S29" s="19" t="n"/>
      <c r="T29" s="19" t="n"/>
      <c r="U29" s="16" t="n"/>
      <c r="V29" s="15" t="inlineStr">
        <is>
          <t>C0_BOM.csv: BF §2 homedepot.com</t>
        </is>
      </c>
      <c r="W29" s="20" t="n"/>
    </row>
    <row r="30">
      <c r="A30" s="14" t="inlineStr">
        <is>
          <t>P-29</t>
        </is>
      </c>
      <c r="B30" s="15" t="inlineStr">
        <is>
          <t>FOAMULAR 150 1 in x 4 x 8 ft (tail, pod)</t>
        </is>
      </c>
      <c r="C30" s="14" t="inlineStr">
        <is>
          <t>Buy</t>
        </is>
      </c>
      <c r="D30" s="14" t="inlineStr">
        <is>
          <t>Airframe</t>
        </is>
      </c>
      <c r="E30" s="14" t="inlineStr">
        <is>
          <t>K7</t>
        </is>
      </c>
      <c r="F30" s="14" t="n"/>
      <c r="G30" s="14" t="n">
        <v>1</v>
      </c>
      <c r="H30" s="16" t="n">
        <v>0</v>
      </c>
      <c r="I30" s="16" t="n">
        <v>0</v>
      </c>
      <c r="J30" s="14">
        <f>MAX(0,G30-I30-N(H30))</f>
        <v/>
      </c>
      <c r="K30" s="16" t="inlineStr">
        <is>
          <t>To order</t>
        </is>
      </c>
      <c r="L30" s="14" t="inlineStr">
        <is>
          <t>Home Depot</t>
        </is>
      </c>
      <c r="M30" s="17" t="n">
        <v>30.97</v>
      </c>
      <c r="N30" s="17">
        <f>G30*M30</f>
        <v/>
      </c>
      <c r="O30" s="18" t="n"/>
      <c r="P30" s="14" t="n"/>
      <c r="Q30" s="15" t="n"/>
      <c r="R30" s="16" t="inlineStr">
        <is>
          <t>—</t>
        </is>
      </c>
      <c r="S30" s="19" t="n"/>
      <c r="T30" s="19" t="n"/>
      <c r="U30" s="16" t="n"/>
      <c r="V30" s="15" t="inlineStr">
        <is>
          <t>C0_BOM.csv: BF §2 homedepot.com</t>
        </is>
      </c>
      <c r="W30" s="20" t="n"/>
    </row>
    <row r="31">
      <c r="A31" s="14" t="inlineStr">
        <is>
          <t>P-30</t>
        </is>
      </c>
      <c r="B31" s="15" t="inlineStr">
        <is>
          <t>6061-T6 tube 1.000 x 0.035 in x 72 in (booms)</t>
        </is>
      </c>
      <c r="C31" s="14" t="inlineStr">
        <is>
          <t>Buy</t>
        </is>
      </c>
      <c r="D31" s="14" t="inlineStr">
        <is>
          <t>Airframe</t>
        </is>
      </c>
      <c r="E31" s="14" t="inlineStr">
        <is>
          <t>K7</t>
        </is>
      </c>
      <c r="F31" s="14" t="n"/>
      <c r="G31" s="14" t="n">
        <v>2</v>
      </c>
      <c r="H31" s="16" t="n">
        <v>0</v>
      </c>
      <c r="I31" s="16" t="n">
        <v>0</v>
      </c>
      <c r="J31" s="14">
        <f>MAX(0,G31-I31-N(H31))</f>
        <v/>
      </c>
      <c r="K31" s="16" t="inlineStr">
        <is>
          <t>To order</t>
        </is>
      </c>
      <c r="L31" s="14" t="inlineStr">
        <is>
          <t>OnlineMetals</t>
        </is>
      </c>
      <c r="M31" s="17" t="n">
        <v>26.2</v>
      </c>
      <c r="N31" s="17">
        <f>G31*M31</f>
        <v/>
      </c>
      <c r="O31" s="18" t="n"/>
      <c r="P31" s="14" t="n"/>
      <c r="Q31" s="15" t="n"/>
      <c r="R31" s="16" t="inlineStr">
        <is>
          <t>—</t>
        </is>
      </c>
      <c r="S31" s="19" t="n"/>
      <c r="T31" s="19" t="n"/>
      <c r="U31" s="16" t="n"/>
      <c r="V31" s="15" t="inlineStr">
        <is>
          <t>C0_BOM.csv: BF §1 onlinemetals.com</t>
        </is>
      </c>
      <c r="W31" s="20" t="inlineStr">
        <is>
          <t>cut list 0.955 + 0.516 + 0.955 + 0.516 m</t>
        </is>
      </c>
    </row>
    <row r="32">
      <c r="A32" s="14" t="inlineStr">
        <is>
          <t>P-31</t>
        </is>
      </c>
      <c r="B32" s="15" t="inlineStr">
        <is>
          <t>6061-T6 tube 1.000 x 0.058 in x 96 in (spar sockets + gear legs)</t>
        </is>
      </c>
      <c r="C32" s="14" t="inlineStr">
        <is>
          <t>Buy</t>
        </is>
      </c>
      <c r="D32" s="14" t="inlineStr">
        <is>
          <t>Airframe</t>
        </is>
      </c>
      <c r="E32" s="14" t="inlineStr">
        <is>
          <t>K7</t>
        </is>
      </c>
      <c r="F32" s="14" t="n"/>
      <c r="G32" s="14" t="n">
        <v>1</v>
      </c>
      <c r="H32" s="16" t="n">
        <v>0</v>
      </c>
      <c r="I32" s="16" t="n">
        <v>0</v>
      </c>
      <c r="J32" s="14">
        <f>MAX(0,G32-I32-N(H32))</f>
        <v/>
      </c>
      <c r="K32" s="16" t="inlineStr">
        <is>
          <t>To order</t>
        </is>
      </c>
      <c r="L32" s="14" t="inlineStr">
        <is>
          <t>OnlineMetals</t>
        </is>
      </c>
      <c r="M32" s="17" t="n">
        <v>53.97</v>
      </c>
      <c r="N32" s="17">
        <f>G32*M32</f>
        <v/>
      </c>
      <c r="O32" s="18" t="n"/>
      <c r="P32" s="14" t="n"/>
      <c r="Q32" s="15" t="n"/>
      <c r="R32" s="16" t="inlineStr">
        <is>
          <t>—</t>
        </is>
      </c>
      <c r="S32" s="19" t="n"/>
      <c r="T32" s="19" t="n"/>
      <c r="U32" s="16" t="n"/>
      <c r="V32" s="15" t="inlineStr">
        <is>
          <t>C0_BOM.csv: BF §1</t>
        </is>
      </c>
      <c r="W32" s="20" t="inlineStr">
        <is>
          <t>2 x 0.8 m sockets + 4 x 0.205 m legs + kerf</t>
        </is>
      </c>
    </row>
    <row r="33">
      <c r="A33" s="14" t="inlineStr">
        <is>
          <t>P-32</t>
        </is>
      </c>
      <c r="B33" s="15" t="inlineStr">
        <is>
          <t>6061-T6 tube 0.875 x 0.058 in x 36 in (joiner)</t>
        </is>
      </c>
      <c r="C33" s="14" t="inlineStr">
        <is>
          <t>Buy</t>
        </is>
      </c>
      <c r="D33" s="14" t="inlineStr">
        <is>
          <t>Airframe</t>
        </is>
      </c>
      <c r="E33" s="14" t="inlineStr">
        <is>
          <t>K7</t>
        </is>
      </c>
      <c r="F33" s="14" t="n"/>
      <c r="G33" s="14" t="n">
        <v>1</v>
      </c>
      <c r="H33" s="16" t="n">
        <v>0</v>
      </c>
      <c r="I33" s="16" t="n">
        <v>0</v>
      </c>
      <c r="J33" s="14">
        <f>MAX(0,G33-I33-N(H33))</f>
        <v/>
      </c>
      <c r="K33" s="16" t="inlineStr">
        <is>
          <t>To order</t>
        </is>
      </c>
      <c r="L33" s="14" t="inlineStr">
        <is>
          <t>OnlineMetals</t>
        </is>
      </c>
      <c r="M33" s="17" t="n">
        <v>18.45</v>
      </c>
      <c r="N33" s="17">
        <f>G33*M33</f>
        <v/>
      </c>
      <c r="O33" s="18" t="n"/>
      <c r="P33" s="14" t="n"/>
      <c r="Q33" s="15" t="n"/>
      <c r="R33" s="16" t="inlineStr">
        <is>
          <t>—</t>
        </is>
      </c>
      <c r="S33" s="19" t="n"/>
      <c r="T33" s="19" t="n"/>
      <c r="U33" s="16" t="n"/>
      <c r="V33" s="15" t="inlineStr">
        <is>
          <t>C0_BOM.csv: BF §1</t>
        </is>
      </c>
      <c r="W33" s="20" t="inlineStr">
        <is>
          <t>0.76 m joiner, 0.30 m engagement per side; 0.23 mm clearance</t>
        </is>
      </c>
    </row>
    <row r="34">
      <c r="A34" s="14" t="inlineStr">
        <is>
          <t>P-33</t>
        </is>
      </c>
      <c r="B34" s="15" t="inlineStr">
        <is>
          <t>HGLRC M100-5883 GPS + compass</t>
        </is>
      </c>
      <c r="C34" s="14" t="inlineStr">
        <is>
          <t>Buy</t>
        </is>
      </c>
      <c r="D34" s="14" t="inlineStr">
        <is>
          <t>Avionics</t>
        </is>
      </c>
      <c r="E34" s="14" t="inlineStr">
        <is>
          <t>K4</t>
        </is>
      </c>
      <c r="F34" s="14" t="n"/>
      <c r="G34" s="14" t="n">
        <v>1</v>
      </c>
      <c r="H34" s="16" t="n">
        <v>0</v>
      </c>
      <c r="I34" s="16" t="n">
        <v>0</v>
      </c>
      <c r="J34" s="14">
        <f>MAX(0,G34-I34-N(H34))</f>
        <v/>
      </c>
      <c r="K34" s="16" t="inlineStr">
        <is>
          <t>To order</t>
        </is>
      </c>
      <c r="L34" s="14" t="inlineStr">
        <is>
          <t>RaceDayQuads</t>
        </is>
      </c>
      <c r="M34" s="17" t="n">
        <v>20.49</v>
      </c>
      <c r="N34" s="17">
        <f>G34*M34</f>
        <v/>
      </c>
      <c r="O34" s="18" t="n"/>
      <c r="P34" s="14" t="n"/>
      <c r="Q34" s="15" t="n"/>
      <c r="R34" s="16" t="inlineStr">
        <is>
          <t>—</t>
        </is>
      </c>
      <c r="S34" s="19" t="n"/>
      <c r="T34" s="19" t="n"/>
      <c r="U34" s="16" t="n"/>
      <c r="V34" s="15" t="inlineStr">
        <is>
          <t>C0_BOM.csv: BA §2 racedayquads.com</t>
        </is>
      </c>
      <c r="W34" s="20" t="n"/>
    </row>
    <row r="35">
      <c r="A35" s="14" t="inlineStr">
        <is>
          <t>P-34</t>
        </is>
      </c>
      <c r="B35" s="15" t="inlineStr">
        <is>
          <t>NewBeeDrone BeeID v1.1 Remote ID (FAA DoC RID000001995)</t>
        </is>
      </c>
      <c r="C35" s="14" t="inlineStr">
        <is>
          <t>Buy</t>
        </is>
      </c>
      <c r="D35" s="14" t="inlineStr">
        <is>
          <t>Avionics</t>
        </is>
      </c>
      <c r="E35" s="14" t="inlineStr">
        <is>
          <t>K4</t>
        </is>
      </c>
      <c r="F35" s="14" t="n"/>
      <c r="G35" s="14" t="n">
        <v>1</v>
      </c>
      <c r="H35" s="16" t="n">
        <v>0</v>
      </c>
      <c r="I35" s="16" t="n">
        <v>0</v>
      </c>
      <c r="J35" s="14">
        <f>MAX(0,G35-I35-N(H35))</f>
        <v/>
      </c>
      <c r="K35" s="16" t="inlineStr">
        <is>
          <t>To order</t>
        </is>
      </c>
      <c r="L35" s="14" t="inlineStr">
        <is>
          <t>RaceDayQuads</t>
        </is>
      </c>
      <c r="M35" s="17" t="n">
        <v>36.99</v>
      </c>
      <c r="N35" s="17">
        <f>G35*M35</f>
        <v/>
      </c>
      <c r="O35" s="18" t="n"/>
      <c r="P35" s="14" t="n"/>
      <c r="Q35" s="15" t="n"/>
      <c r="R35" s="16" t="inlineStr">
        <is>
          <t>—</t>
        </is>
      </c>
      <c r="S35" s="19" t="n"/>
      <c r="T35" s="19" t="n"/>
      <c r="U35" s="16" t="n"/>
      <c r="V35" s="15" t="inlineStr">
        <is>
          <t>C0_BOM.csv: BA §4 racedayquads.com</t>
        </is>
      </c>
      <c r="W35" s="20" t="n"/>
    </row>
    <row r="36">
      <c r="A36" s="14" t="inlineStr">
        <is>
          <t>P-35</t>
        </is>
      </c>
      <c r="B36" s="15" t="inlineStr">
        <is>
          <t>RadioMaster Pocket Crush ELRS</t>
        </is>
      </c>
      <c r="C36" s="14" t="inlineStr">
        <is>
          <t>Buy</t>
        </is>
      </c>
      <c r="D36" s="14" t="inlineStr">
        <is>
          <t>Avionics</t>
        </is>
      </c>
      <c r="E36" s="14" t="inlineStr">
        <is>
          <t>K6</t>
        </is>
      </c>
      <c r="F36" s="14" t="n"/>
      <c r="G36" s="14" t="n">
        <v>1</v>
      </c>
      <c r="H36" s="16" t="n">
        <v>0</v>
      </c>
      <c r="I36" s="16" t="n">
        <v>0</v>
      </c>
      <c r="J36" s="14">
        <f>MAX(0,G36-I36-N(H36))</f>
        <v/>
      </c>
      <c r="K36" s="16" t="inlineStr">
        <is>
          <t>To order</t>
        </is>
      </c>
      <c r="L36" s="14" t="inlineStr">
        <is>
          <t>RadioMaster</t>
        </is>
      </c>
      <c r="M36" s="17" t="n">
        <v>64.98999999999999</v>
      </c>
      <c r="N36" s="17">
        <f>G36*M36</f>
        <v/>
      </c>
      <c r="O36" s="18" t="n"/>
      <c r="P36" s="14" t="n"/>
      <c r="Q36" s="15" t="n"/>
      <c r="R36" s="16" t="inlineStr">
        <is>
          <t>—</t>
        </is>
      </c>
      <c r="S36" s="19" t="n"/>
      <c r="T36" s="19" t="n"/>
      <c r="U36" s="16" t="n"/>
      <c r="V36" s="15" t="inlineStr">
        <is>
          <t>C0_BOM.csv: BA §5 radiomasterrc.com</t>
        </is>
      </c>
      <c r="W36" s="20" t="n"/>
    </row>
    <row r="37">
      <c r="A37" s="14" t="inlineStr">
        <is>
          <t>P-36</t>
        </is>
      </c>
      <c r="B37" s="15" t="inlineStr">
        <is>
          <t>RadioMaster RP3 V2 ELRS receiver</t>
        </is>
      </c>
      <c r="C37" s="14" t="inlineStr">
        <is>
          <t>Buy</t>
        </is>
      </c>
      <c r="D37" s="14" t="inlineStr">
        <is>
          <t>Avionics</t>
        </is>
      </c>
      <c r="E37" s="14" t="inlineStr">
        <is>
          <t>K4</t>
        </is>
      </c>
      <c r="F37" s="14" t="n"/>
      <c r="G37" s="14" t="n">
        <v>1</v>
      </c>
      <c r="H37" s="16" t="n">
        <v>0</v>
      </c>
      <c r="I37" s="16" t="n">
        <v>0</v>
      </c>
      <c r="J37" s="14">
        <f>MAX(0,G37-I37-N(H37))</f>
        <v/>
      </c>
      <c r="K37" s="16" t="inlineStr">
        <is>
          <t>To order</t>
        </is>
      </c>
      <c r="L37" s="14" t="inlineStr">
        <is>
          <t>RadioMaster</t>
        </is>
      </c>
      <c r="M37" s="17" t="n">
        <v>19.99</v>
      </c>
      <c r="N37" s="17">
        <f>G37*M37</f>
        <v/>
      </c>
      <c r="O37" s="18" t="n"/>
      <c r="P37" s="14" t="n"/>
      <c r="Q37" s="15" t="n"/>
      <c r="R37" s="16" t="inlineStr">
        <is>
          <t>—</t>
        </is>
      </c>
      <c r="S37" s="19" t="n"/>
      <c r="T37" s="19" t="n"/>
      <c r="U37" s="16" t="n"/>
      <c r="V37" s="15" t="inlineStr">
        <is>
          <t>C0_BOM.csv: BA §5</t>
        </is>
      </c>
      <c r="W37" s="20" t="n"/>
    </row>
    <row r="38">
      <c r="A38" s="14" t="inlineStr">
        <is>
          <t>P-37</t>
        </is>
      </c>
      <c r="B38" s="15" t="inlineStr">
        <is>
          <t>CoreWing F405 Wing APP V2 (12 out, 90 A sensor)</t>
        </is>
      </c>
      <c r="C38" s="14" t="inlineStr">
        <is>
          <t>Buy</t>
        </is>
      </c>
      <c r="D38" s="14" t="inlineStr">
        <is>
          <t>Avionics</t>
        </is>
      </c>
      <c r="E38" s="14" t="inlineStr">
        <is>
          <t>K4</t>
        </is>
      </c>
      <c r="F38" s="14" t="n"/>
      <c r="G38" s="14" t="n">
        <v>1</v>
      </c>
      <c r="H38" s="16" t="n">
        <v>0</v>
      </c>
      <c r="I38" s="16" t="n">
        <v>0</v>
      </c>
      <c r="J38" s="14">
        <f>MAX(0,G38-I38-N(H38))</f>
        <v/>
      </c>
      <c r="K38" s="16" t="inlineStr">
        <is>
          <t>To order</t>
        </is>
      </c>
      <c r="L38" s="14" t="inlineStr">
        <is>
          <t>ReadyMadeRC</t>
        </is>
      </c>
      <c r="M38" s="17" t="n">
        <v>67.26000000000001</v>
      </c>
      <c r="N38" s="17">
        <f>G38*M38</f>
        <v/>
      </c>
      <c r="O38" s="18" t="n"/>
      <c r="P38" s="14" t="n"/>
      <c r="Q38" s="15" t="n"/>
      <c r="R38" s="16" t="inlineStr">
        <is>
          <t>—</t>
        </is>
      </c>
      <c r="S38" s="19" t="n"/>
      <c r="T38" s="19" t="n"/>
      <c r="U38" s="16" t="n"/>
      <c r="V38" s="15" t="inlineStr">
        <is>
          <t>C0_BOM.csv: BA §2 readymaderc.com</t>
        </is>
      </c>
      <c r="W38" s="20" t="inlineStr">
        <is>
          <t>ArduPilot target beta-only (4.7.2-beta); fallback Matek F405-WMO $69.99</t>
        </is>
      </c>
    </row>
    <row r="39">
      <c r="A39" s="14" t="inlineStr">
        <is>
          <t>P-38</t>
        </is>
      </c>
      <c r="B39" s="15" t="inlineStr">
        <is>
          <t>SunnySky X4110S 400KV (pusher)</t>
        </is>
      </c>
      <c r="C39" s="14" t="inlineStr">
        <is>
          <t>Buy</t>
        </is>
      </c>
      <c r="D39" s="14" t="inlineStr">
        <is>
          <t>Cruise propulsion</t>
        </is>
      </c>
      <c r="E39" s="14" t="inlineStr">
        <is>
          <t>K4</t>
        </is>
      </c>
      <c r="F39" s="14" t="inlineStr">
        <is>
          <t>Pusher_Motor</t>
        </is>
      </c>
      <c r="G39" s="14" t="n">
        <v>1</v>
      </c>
      <c r="H39" s="16" t="n">
        <v>0</v>
      </c>
      <c r="I39" s="16" t="n">
        <v>0</v>
      </c>
      <c r="J39" s="14">
        <f>MAX(0,G39-I39-N(H39))</f>
        <v/>
      </c>
      <c r="K39" s="16" t="inlineStr">
        <is>
          <t>To order</t>
        </is>
      </c>
      <c r="L39" s="14" t="inlineStr">
        <is>
          <t>SunnySky USA</t>
        </is>
      </c>
      <c r="M39" s="17" t="n">
        <v>46.99</v>
      </c>
      <c r="N39" s="17">
        <f>G39*M39</f>
        <v/>
      </c>
      <c r="O39" s="18" t="n"/>
      <c r="P39" s="14" t="n"/>
      <c r="Q39" s="15" t="n"/>
      <c r="R39" s="16" t="inlineStr">
        <is>
          <t>—</t>
        </is>
      </c>
      <c r="S39" s="19" t="n"/>
      <c r="T39" s="19" t="n"/>
      <c r="U39" s="16" t="n"/>
      <c r="V39" s="15" t="inlineStr">
        <is>
          <t>C0_BOM.csv: BL A3</t>
        </is>
      </c>
      <c r="W39" s="20" t="inlineStr">
        <is>
          <t>same motor as lift: one spare covers both</t>
        </is>
      </c>
    </row>
    <row r="40">
      <c r="A40" s="14" t="inlineStr">
        <is>
          <t>P-39</t>
        </is>
      </c>
      <c r="B40" s="15" t="inlineStr">
        <is>
          <t>SunnySky X4110S 400KV</t>
        </is>
      </c>
      <c r="C40" s="14" t="inlineStr">
        <is>
          <t>Buy</t>
        </is>
      </c>
      <c r="D40" s="14" t="inlineStr">
        <is>
          <t>Lift propulsion</t>
        </is>
      </c>
      <c r="E40" s="14" t="inlineStr">
        <is>
          <t>K2</t>
        </is>
      </c>
      <c r="F40" s="14" t="inlineStr">
        <is>
          <t>Lift_Motor</t>
        </is>
      </c>
      <c r="G40" s="14" t="n">
        <v>4</v>
      </c>
      <c r="H40" s="16" t="n">
        <v>0</v>
      </c>
      <c r="I40" s="16" t="n">
        <v>0</v>
      </c>
      <c r="J40" s="14">
        <f>MAX(0,G40-I40-N(H40))</f>
        <v/>
      </c>
      <c r="K40" s="16" t="inlineStr">
        <is>
          <t>To order</t>
        </is>
      </c>
      <c r="L40" s="14" t="inlineStr">
        <is>
          <t>SunnySky USA</t>
        </is>
      </c>
      <c r="M40" s="17" t="n">
        <v>46.99</v>
      </c>
      <c r="N40" s="17">
        <f>G40*M40</f>
        <v/>
      </c>
      <c r="O40" s="18" t="n"/>
      <c r="P40" s="14" t="n"/>
      <c r="Q40" s="15" t="n"/>
      <c r="R40" s="16" t="inlineStr">
        <is>
          <t>—</t>
        </is>
      </c>
      <c r="S40" s="19" t="n"/>
      <c r="T40" s="19" t="n"/>
      <c r="U40" s="16" t="n"/>
      <c r="V40" s="15" t="inlineStr">
        <is>
          <t>C0_BOM.csv: BL A3 sunnyskyusa.com</t>
        </is>
      </c>
      <c r="W40" s="20" t="n"/>
    </row>
    <row r="41">
      <c r="A41" s="14" t="inlineStr">
        <is>
          <t>P-40</t>
        </is>
      </c>
      <c r="B41" s="15" t="inlineStr">
        <is>
          <t>X4110S spare motor (lift or pusher)</t>
        </is>
      </c>
      <c r="C41" s="14" t="inlineStr">
        <is>
          <t>Buy</t>
        </is>
      </c>
      <c r="D41" s="14" t="inlineStr">
        <is>
          <t>Spares</t>
        </is>
      </c>
      <c r="E41" s="14" t="inlineStr">
        <is>
          <t>K4</t>
        </is>
      </c>
      <c r="F41" s="14" t="n"/>
      <c r="G41" s="14" t="n">
        <v>1</v>
      </c>
      <c r="H41" s="16" t="n">
        <v>0</v>
      </c>
      <c r="I41" s="16" t="n">
        <v>0</v>
      </c>
      <c r="J41" s="14">
        <f>MAX(0,G41-I41-N(H41))</f>
        <v/>
      </c>
      <c r="K41" s="16" t="inlineStr">
        <is>
          <t>To order</t>
        </is>
      </c>
      <c r="L41" s="14" t="inlineStr">
        <is>
          <t>SunnySky USA</t>
        </is>
      </c>
      <c r="M41" s="17" t="n">
        <v>46.99</v>
      </c>
      <c r="N41" s="17">
        <f>G41*M41</f>
        <v/>
      </c>
      <c r="O41" s="18" t="n"/>
      <c r="P41" s="14" t="n"/>
      <c r="Q41" s="15" t="n"/>
      <c r="R41" s="16" t="inlineStr">
        <is>
          <t>—</t>
        </is>
      </c>
      <c r="S41" s="19" t="n"/>
      <c r="T41" s="19" t="n"/>
      <c r="U41" s="16" t="n"/>
      <c r="V41" s="15" t="inlineStr">
        <is>
          <t>C0_BOM.csv: BL</t>
        </is>
      </c>
      <c r="W41" s="20" t="n"/>
    </row>
    <row r="42">
      <c r="A42" s="14" t="inlineStr">
        <is>
          <t>M-01</t>
        </is>
      </c>
      <c r="B42" s="15" t="inlineStr">
        <is>
          <t>Left wing panel, NACA 2415 (EST), XPS core + tape skin, chord 239 mm</t>
        </is>
      </c>
      <c r="C42" s="14" t="inlineStr">
        <is>
          <t>Make</t>
        </is>
      </c>
      <c r="D42" s="14" t="inlineStr">
        <is>
          <t>Fabricated part</t>
        </is>
      </c>
      <c r="E42" s="14" t="inlineStr">
        <is>
          <t>K1</t>
        </is>
      </c>
      <c r="F42" s="14" t="inlineStr">
        <is>
          <t>Wing_Panel_L</t>
        </is>
      </c>
      <c r="G42" s="14" t="n">
        <v>1</v>
      </c>
      <c r="H42" s="16" t="n"/>
      <c r="I42" s="16" t="n">
        <v>0</v>
      </c>
      <c r="J42" s="14">
        <f>MAX(0,G42-I42-N(H42))</f>
        <v/>
      </c>
      <c r="K42" s="16" t="inlineStr">
        <is>
          <t>To make</t>
        </is>
      </c>
      <c r="L42" s="14" t="inlineStr">
        <is>
          <t>In-house</t>
        </is>
      </c>
      <c r="M42" s="17" t="n">
        <v>0</v>
      </c>
      <c r="N42" s="17">
        <f>G42*M42</f>
        <v/>
      </c>
      <c r="O42" s="18" t="n"/>
      <c r="P42" s="14" t="inlineStr">
        <is>
          <t>P-28</t>
        </is>
      </c>
      <c r="Q42" s="15" t="inlineStr">
        <is>
          <t>Hot-wire XPS core, packing-tape skin</t>
        </is>
      </c>
      <c r="R42" s="16" t="inlineStr">
        <is>
          <t>—</t>
        </is>
      </c>
      <c r="S42" s="19" t="n"/>
      <c r="T42" s="19" t="n"/>
      <c r="U42" s="16" t="n"/>
      <c r="V42" s="15" t="inlineStr">
        <is>
          <t>cad/params.txt comp= count; cad/mesh/meta.json</t>
        </is>
      </c>
      <c r="W42" s="20" t="n"/>
    </row>
    <row r="43">
      <c r="A43" s="14" t="inlineStr">
        <is>
          <t>M-02</t>
        </is>
      </c>
      <c r="B43" s="15" t="inlineStr">
        <is>
          <t>Right wing panel, NACA 2415 (EST), XPS core + tape skin, chord 239 mm</t>
        </is>
      </c>
      <c r="C43" s="14" t="inlineStr">
        <is>
          <t>Make</t>
        </is>
      </c>
      <c r="D43" s="14" t="inlineStr">
        <is>
          <t>Fabricated part</t>
        </is>
      </c>
      <c r="E43" s="14" t="inlineStr">
        <is>
          <t>K1</t>
        </is>
      </c>
      <c r="F43" s="14" t="inlineStr">
        <is>
          <t>Wing_Panel_R</t>
        </is>
      </c>
      <c r="G43" s="14" t="n">
        <v>1</v>
      </c>
      <c r="H43" s="16" t="n"/>
      <c r="I43" s="16" t="n">
        <v>0</v>
      </c>
      <c r="J43" s="14">
        <f>MAX(0,G43-I43-N(H43))</f>
        <v/>
      </c>
      <c r="K43" s="16" t="inlineStr">
        <is>
          <t>To make</t>
        </is>
      </c>
      <c r="L43" s="14" t="inlineStr">
        <is>
          <t>In-house</t>
        </is>
      </c>
      <c r="M43" s="17" t="n">
        <v>0</v>
      </c>
      <c r="N43" s="17">
        <f>G43*M43</f>
        <v/>
      </c>
      <c r="O43" s="18" t="n"/>
      <c r="P43" s="14" t="inlineStr">
        <is>
          <t>P-28</t>
        </is>
      </c>
      <c r="Q43" s="15" t="inlineStr">
        <is>
          <t>Hot-wire XPS core, packing-tape skin</t>
        </is>
      </c>
      <c r="R43" s="16" t="inlineStr">
        <is>
          <t>—</t>
        </is>
      </c>
      <c r="S43" s="19" t="n"/>
      <c r="T43" s="19" t="n"/>
      <c r="U43" s="16" t="n"/>
      <c r="V43" s="15" t="inlineStr">
        <is>
          <t>cad/params.txt comp= count; cad/mesh/meta.json</t>
        </is>
      </c>
      <c r="W43" s="20" t="n"/>
    </row>
    <row r="44">
      <c r="A44" s="14" t="inlineStr">
        <is>
          <t>M-03</t>
        </is>
      </c>
      <c r="B44" s="15" t="inlineStr">
        <is>
          <t>Left aileron, 26 % chord, 55 % of panel span</t>
        </is>
      </c>
      <c r="C44" s="14" t="inlineStr">
        <is>
          <t>Make</t>
        </is>
      </c>
      <c r="D44" s="14" t="inlineStr">
        <is>
          <t>Fabricated part</t>
        </is>
      </c>
      <c r="E44" s="14" t="inlineStr">
        <is>
          <t>K1</t>
        </is>
      </c>
      <c r="F44" s="14" t="inlineStr">
        <is>
          <t>Aileron_L</t>
        </is>
      </c>
      <c r="G44" s="14" t="n">
        <v>1</v>
      </c>
      <c r="H44" s="16" t="n"/>
      <c r="I44" s="16" t="n">
        <v>0</v>
      </c>
      <c r="J44" s="14">
        <f>MAX(0,G44-I44-N(H44))</f>
        <v/>
      </c>
      <c r="K44" s="16" t="inlineStr">
        <is>
          <t>To make</t>
        </is>
      </c>
      <c r="L44" s="14" t="inlineStr">
        <is>
          <t>In-house</t>
        </is>
      </c>
      <c r="M44" s="17" t="n">
        <v>0</v>
      </c>
      <c r="N44" s="17">
        <f>G44*M44</f>
        <v/>
      </c>
      <c r="O44" s="18" t="n"/>
      <c r="P44" s="14" t="inlineStr">
        <is>
          <t>P-28</t>
        </is>
      </c>
      <c r="Q44" s="15" t="inlineStr">
        <is>
          <t>Cut from wing panel trailing edge, tape hinge</t>
        </is>
      </c>
      <c r="R44" s="16" t="inlineStr">
        <is>
          <t>—</t>
        </is>
      </c>
      <c r="S44" s="19" t="n"/>
      <c r="T44" s="19" t="n"/>
      <c r="U44" s="16" t="n"/>
      <c r="V44" s="15" t="inlineStr">
        <is>
          <t>cad/params.txt comp= count; cad/mesh/meta.json</t>
        </is>
      </c>
      <c r="W44" s="20" t="n"/>
    </row>
    <row r="45">
      <c r="A45" s="14" t="inlineStr">
        <is>
          <t>M-04</t>
        </is>
      </c>
      <c r="B45" s="15" t="inlineStr">
        <is>
          <t>Right aileron, 26 % chord, 55 % of panel span</t>
        </is>
      </c>
      <c r="C45" s="14" t="inlineStr">
        <is>
          <t>Make</t>
        </is>
      </c>
      <c r="D45" s="14" t="inlineStr">
        <is>
          <t>Fabricated part</t>
        </is>
      </c>
      <c r="E45" s="14" t="inlineStr">
        <is>
          <t>K1</t>
        </is>
      </c>
      <c r="F45" s="14" t="inlineStr">
        <is>
          <t>Aileron_R</t>
        </is>
      </c>
      <c r="G45" s="14" t="n">
        <v>1</v>
      </c>
      <c r="H45" s="16" t="n"/>
      <c r="I45" s="16" t="n">
        <v>0</v>
      </c>
      <c r="J45" s="14">
        <f>MAX(0,G45-I45-N(H45))</f>
        <v/>
      </c>
      <c r="K45" s="16" t="inlineStr">
        <is>
          <t>To make</t>
        </is>
      </c>
      <c r="L45" s="14" t="inlineStr">
        <is>
          <t>In-house</t>
        </is>
      </c>
      <c r="M45" s="17" t="n">
        <v>0</v>
      </c>
      <c r="N45" s="17">
        <f>G45*M45</f>
        <v/>
      </c>
      <c r="O45" s="18" t="n"/>
      <c r="P45" s="14" t="inlineStr">
        <is>
          <t>P-28</t>
        </is>
      </c>
      <c r="Q45" s="15" t="inlineStr">
        <is>
          <t>Cut from wing panel trailing edge, tape hinge</t>
        </is>
      </c>
      <c r="R45" s="16" t="inlineStr">
        <is>
          <t>—</t>
        </is>
      </c>
      <c r="S45" s="19" t="n"/>
      <c r="T45" s="19" t="n"/>
      <c r="U45" s="16" t="n"/>
      <c r="V45" s="15" t="inlineStr">
        <is>
          <t>cad/params.txt comp= count; cad/mesh/meta.json</t>
        </is>
      </c>
      <c r="W45" s="20" t="n"/>
    </row>
    <row r="46">
      <c r="A46" s="14" t="inlineStr">
        <is>
          <t>M-05</t>
        </is>
      </c>
      <c r="B46" s="15" t="inlineStr">
        <is>
          <t>Wing centre-section saddle over the joiner: XPS block from the budgeted FOAMULAR sheet, taped, with printed PETG root plates (EST)</t>
        </is>
      </c>
      <c r="C46" s="14" t="inlineStr">
        <is>
          <t>Make</t>
        </is>
      </c>
      <c r="D46" s="14" t="inlineStr">
        <is>
          <t>Fabricated part</t>
        </is>
      </c>
      <c r="E46" s="14" t="inlineStr">
        <is>
          <t>K1</t>
        </is>
      </c>
      <c r="F46" s="14" t="inlineStr">
        <is>
          <t>Wing_Saddle</t>
        </is>
      </c>
      <c r="G46" s="14" t="n">
        <v>1</v>
      </c>
      <c r="H46" s="16" t="n"/>
      <c r="I46" s="16" t="n">
        <v>0</v>
      </c>
      <c r="J46" s="14">
        <f>MAX(0,G46-I46-N(H46))</f>
        <v/>
      </c>
      <c r="K46" s="16" t="inlineStr">
        <is>
          <t>To make</t>
        </is>
      </c>
      <c r="L46" s="14" t="inlineStr">
        <is>
          <t>In-house</t>
        </is>
      </c>
      <c r="M46" s="17" t="n">
        <v>0</v>
      </c>
      <c r="N46" s="17">
        <f>G46*M46</f>
        <v/>
      </c>
      <c r="O46" s="18" t="n"/>
      <c r="P46" s="14" t="inlineStr">
        <is>
          <t>P-28</t>
        </is>
      </c>
      <c r="Q46" s="15" t="inlineStr">
        <is>
          <t>XPS block, taped; printed PETG root plates; bore for joiner</t>
        </is>
      </c>
      <c r="R46" s="16" t="inlineStr">
        <is>
          <t>—</t>
        </is>
      </c>
      <c r="S46" s="19" t="n"/>
      <c r="T46" s="19" t="n"/>
      <c r="U46" s="16" t="n"/>
      <c r="V46" s="15" t="inlineStr">
        <is>
          <t>cad/params.txt comp= count; cad/mesh/meta.json</t>
        </is>
      </c>
      <c r="W46" s="20" t="n"/>
    </row>
    <row r="47">
      <c r="A47" s="14" t="inlineStr">
        <is>
          <t>M-06</t>
        </is>
      </c>
      <c r="B47" s="15" t="inlineStr">
        <is>
          <t>6061-T6 1.000 x 0.058 in spar socket, 0.8 m</t>
        </is>
      </c>
      <c r="C47" s="14" t="inlineStr">
        <is>
          <t>Make</t>
        </is>
      </c>
      <c r="D47" s="14" t="inlineStr">
        <is>
          <t>Fabricated part</t>
        </is>
      </c>
      <c r="E47" s="14" t="inlineStr">
        <is>
          <t>K1</t>
        </is>
      </c>
      <c r="F47" s="14" t="inlineStr">
        <is>
          <t>Spar_Tube</t>
        </is>
      </c>
      <c r="G47" s="14" t="n">
        <v>2</v>
      </c>
      <c r="H47" s="16" t="n"/>
      <c r="I47" s="16" t="n">
        <v>0</v>
      </c>
      <c r="J47" s="14">
        <f>MAX(0,G47-I47-N(H47))</f>
        <v/>
      </c>
      <c r="K47" s="16" t="inlineStr">
        <is>
          <t>To make</t>
        </is>
      </c>
      <c r="L47" s="14" t="inlineStr">
        <is>
          <t>In-house</t>
        </is>
      </c>
      <c r="M47" s="17" t="n">
        <v>0</v>
      </c>
      <c r="N47" s="17">
        <f>G47*M47</f>
        <v/>
      </c>
      <c r="O47" s="18" t="n"/>
      <c r="P47" s="14" t="inlineStr">
        <is>
          <t>P-31</t>
        </is>
      </c>
      <c r="Q47" s="15" t="inlineStr">
        <is>
          <t>Cut 0.8 m from 96 in tube</t>
        </is>
      </c>
      <c r="R47" s="16" t="inlineStr">
        <is>
          <t>—</t>
        </is>
      </c>
      <c r="S47" s="19" t="n"/>
      <c r="T47" s="19" t="n"/>
      <c r="U47" s="16" t="n"/>
      <c r="V47" s="15" t="inlineStr">
        <is>
          <t>cad/params.txt comp= count; cad/mesh/meta.json</t>
        </is>
      </c>
      <c r="W47" s="20" t="n"/>
    </row>
    <row r="48">
      <c r="A48" s="14" t="inlineStr">
        <is>
          <t>M-07</t>
        </is>
      </c>
      <c r="B48" s="15" t="inlineStr">
        <is>
          <t>6061-T6 0.875 x 0.058 in joiner, 0.76 m</t>
        </is>
      </c>
      <c r="C48" s="14" t="inlineStr">
        <is>
          <t>Make</t>
        </is>
      </c>
      <c r="D48" s="14" t="inlineStr">
        <is>
          <t>Fabricated part</t>
        </is>
      </c>
      <c r="E48" s="14" t="inlineStr">
        <is>
          <t>K1</t>
        </is>
      </c>
      <c r="F48" s="14" t="inlineStr">
        <is>
          <t>Wing_Joiner</t>
        </is>
      </c>
      <c r="G48" s="14" t="n">
        <v>1</v>
      </c>
      <c r="H48" s="16" t="n"/>
      <c r="I48" s="16" t="n">
        <v>0</v>
      </c>
      <c r="J48" s="14">
        <f>MAX(0,G48-I48-N(H48))</f>
        <v/>
      </c>
      <c r="K48" s="16" t="inlineStr">
        <is>
          <t>To make</t>
        </is>
      </c>
      <c r="L48" s="14" t="inlineStr">
        <is>
          <t>In-house</t>
        </is>
      </c>
      <c r="M48" s="17" t="n">
        <v>0</v>
      </c>
      <c r="N48" s="17">
        <f>G48*M48</f>
        <v/>
      </c>
      <c r="O48" s="18" t="n"/>
      <c r="P48" s="14" t="inlineStr">
        <is>
          <t>P-32</t>
        </is>
      </c>
      <c r="Q48" s="15" t="inlineStr">
        <is>
          <t>Cut 0.76 m from 36 in tube</t>
        </is>
      </c>
      <c r="R48" s="16" t="inlineStr">
        <is>
          <t>—</t>
        </is>
      </c>
      <c r="S48" s="19" t="n"/>
      <c r="T48" s="19" t="n"/>
      <c r="U48" s="16" t="n"/>
      <c r="V48" s="15" t="inlineStr">
        <is>
          <t>cad/params.txt comp= count; cad/mesh/meta.json</t>
        </is>
      </c>
      <c r="W48" s="20" t="n"/>
    </row>
    <row r="49">
      <c r="A49" s="14" t="inlineStr">
        <is>
          <t>M-08</t>
        </is>
      </c>
      <c r="B49" s="15" t="inlineStr">
        <is>
          <t>M5 x 30 stainless button screw into a captive nut in the saddle (hardware kit, budget-airframe.md §3a item 5)</t>
        </is>
      </c>
      <c r="C49" s="14" t="inlineStr">
        <is>
          <t>Make</t>
        </is>
      </c>
      <c r="D49" s="14" t="inlineStr">
        <is>
          <t>Fabricated part</t>
        </is>
      </c>
      <c r="E49" s="14" t="inlineStr">
        <is>
          <t>K1</t>
        </is>
      </c>
      <c r="F49" s="14" t="inlineStr">
        <is>
          <t>Wing_Bolt</t>
        </is>
      </c>
      <c r="G49" s="14" t="n">
        <v>2</v>
      </c>
      <c r="H49" s="16" t="n"/>
      <c r="I49" s="16" t="n">
        <v>0</v>
      </c>
      <c r="J49" s="14">
        <f>MAX(0,G49-I49-N(H49))</f>
        <v/>
      </c>
      <c r="K49" s="16" t="inlineStr">
        <is>
          <t>To make</t>
        </is>
      </c>
      <c r="L49" s="14" t="inlineStr">
        <is>
          <t>In-house</t>
        </is>
      </c>
      <c r="M49" s="17" t="n">
        <v>0</v>
      </c>
      <c r="N49" s="17">
        <f>G49*M49</f>
        <v/>
      </c>
      <c r="O49" s="18" t="n"/>
      <c r="P49" s="14" t="inlineStr">
        <is>
          <t>P-04</t>
        </is>
      </c>
      <c r="Q49" s="15" t="inlineStr">
        <is>
          <t>M5 x 30 from hardware kit, captive nut in saddle</t>
        </is>
      </c>
      <c r="R49" s="16" t="inlineStr">
        <is>
          <t>—</t>
        </is>
      </c>
      <c r="S49" s="19" t="n"/>
      <c r="T49" s="19" t="n"/>
      <c r="U49" s="16" t="n"/>
      <c r="V49" s="15" t="inlineStr">
        <is>
          <t>cad/params.txt comp= count; cad/mesh/meta.json</t>
        </is>
      </c>
      <c r="W49" s="20" t="n"/>
    </row>
    <row r="50">
      <c r="A50" s="14" t="inlineStr">
        <is>
          <t>M-09</t>
        </is>
      </c>
      <c r="B50" s="15" t="inlineStr">
        <is>
          <t>Front boom, 6061-T6 1.000 x 0.035 in</t>
        </is>
      </c>
      <c r="C50" s="14" t="inlineStr">
        <is>
          <t>Make</t>
        </is>
      </c>
      <c r="D50" s="14" t="inlineStr">
        <is>
          <t>Fabricated part</t>
        </is>
      </c>
      <c r="E50" s="14" t="inlineStr">
        <is>
          <t>K2</t>
        </is>
      </c>
      <c r="F50" s="14" t="inlineStr">
        <is>
          <t>Boom_Front</t>
        </is>
      </c>
      <c r="G50" s="14" t="n">
        <v>2</v>
      </c>
      <c r="H50" s="16" t="n"/>
      <c r="I50" s="16" t="n">
        <v>0</v>
      </c>
      <c r="J50" s="14">
        <f>MAX(0,G50-I50-N(H50))</f>
        <v/>
      </c>
      <c r="K50" s="16" t="inlineStr">
        <is>
          <t>To make</t>
        </is>
      </c>
      <c r="L50" s="14" t="inlineStr">
        <is>
          <t>In-house</t>
        </is>
      </c>
      <c r="M50" s="17" t="n">
        <v>0</v>
      </c>
      <c r="N50" s="17">
        <f>G50*M50</f>
        <v/>
      </c>
      <c r="O50" s="18" t="n"/>
      <c r="P50" s="14" t="inlineStr">
        <is>
          <t>P-30</t>
        </is>
      </c>
      <c r="Q50" s="15" t="inlineStr">
        <is>
          <t>Cut 0.955 m from 72 in tube</t>
        </is>
      </c>
      <c r="R50" s="16" t="inlineStr">
        <is>
          <t>—</t>
        </is>
      </c>
      <c r="S50" s="19" t="n"/>
      <c r="T50" s="19" t="n"/>
      <c r="U50" s="16" t="n"/>
      <c r="V50" s="15" t="inlineStr">
        <is>
          <t>cad/params.txt comp= count; cad/mesh/meta.json</t>
        </is>
      </c>
      <c r="W50" s="20" t="n"/>
    </row>
    <row r="51">
      <c r="A51" s="14" t="inlineStr">
        <is>
          <t>M-10</t>
        </is>
      </c>
      <c r="B51" s="15" t="inlineStr">
        <is>
          <t>Rear boom stub carrying the tail, 6061-T6</t>
        </is>
      </c>
      <c r="C51" s="14" t="inlineStr">
        <is>
          <t>Make</t>
        </is>
      </c>
      <c r="D51" s="14" t="inlineStr">
        <is>
          <t>Fabricated part</t>
        </is>
      </c>
      <c r="E51" s="14" t="inlineStr">
        <is>
          <t>K2</t>
        </is>
      </c>
      <c r="F51" s="14" t="inlineStr">
        <is>
          <t>Boom_Rear_Stub</t>
        </is>
      </c>
      <c r="G51" s="14" t="n">
        <v>2</v>
      </c>
      <c r="H51" s="16" t="n"/>
      <c r="I51" s="16" t="n">
        <v>0</v>
      </c>
      <c r="J51" s="14">
        <f>MAX(0,G51-I51-N(H51))</f>
        <v/>
      </c>
      <c r="K51" s="16" t="inlineStr">
        <is>
          <t>To make</t>
        </is>
      </c>
      <c r="L51" s="14" t="inlineStr">
        <is>
          <t>In-house</t>
        </is>
      </c>
      <c r="M51" s="17" t="n">
        <v>0</v>
      </c>
      <c r="N51" s="17">
        <f>G51*M51</f>
        <v/>
      </c>
      <c r="O51" s="18" t="n"/>
      <c r="P51" s="14" t="inlineStr">
        <is>
          <t>P-30</t>
        </is>
      </c>
      <c r="Q51" s="15" t="inlineStr">
        <is>
          <t>Cut 0.516 m from 72 in tube</t>
        </is>
      </c>
      <c r="R51" s="16" t="inlineStr">
        <is>
          <t>—</t>
        </is>
      </c>
      <c r="S51" s="19" t="n"/>
      <c r="T51" s="19" t="n"/>
      <c r="U51" s="16" t="n"/>
      <c r="V51" s="15" t="inlineStr">
        <is>
          <t>cad/params.txt comp= count; cad/mesh/meta.json</t>
        </is>
      </c>
      <c r="W51" s="20" t="n"/>
    </row>
    <row r="52">
      <c r="A52" s="14" t="inlineStr">
        <is>
          <t>M-11</t>
        </is>
      </c>
      <c r="B52" s="15" t="inlineStr">
        <is>
          <t>Printed PETG boom-to-wing clamp at the spar; top meets the wing lower surface</t>
        </is>
      </c>
      <c r="C52" s="14" t="inlineStr">
        <is>
          <t>Make</t>
        </is>
      </c>
      <c r="D52" s="14" t="inlineStr">
        <is>
          <t>Fabricated part</t>
        </is>
      </c>
      <c r="E52" s="14" t="inlineStr">
        <is>
          <t>K2</t>
        </is>
      </c>
      <c r="F52" s="14" t="inlineStr">
        <is>
          <t>Boom_Clamp_Front</t>
        </is>
      </c>
      <c r="G52" s="14" t="n">
        <v>2</v>
      </c>
      <c r="H52" s="16" t="n"/>
      <c r="I52" s="16" t="n">
        <v>0</v>
      </c>
      <c r="J52" s="14">
        <f>MAX(0,G52-I52-N(H52))</f>
        <v/>
      </c>
      <c r="K52" s="16" t="inlineStr">
        <is>
          <t>To make</t>
        </is>
      </c>
      <c r="L52" s="14" t="inlineStr">
        <is>
          <t>In-house</t>
        </is>
      </c>
      <c r="M52" s="17" t="n">
        <v>0</v>
      </c>
      <c r="N52" s="17">
        <f>G52*M52</f>
        <v/>
      </c>
      <c r="O52" s="18" t="n"/>
      <c r="P52" s="14" t="inlineStr">
        <is>
          <t>P-05</t>
        </is>
      </c>
      <c r="Q52" s="15" t="inlineStr">
        <is>
          <t>3D print, PETG</t>
        </is>
      </c>
      <c r="R52" s="16" t="inlineStr">
        <is>
          <t>—</t>
        </is>
      </c>
      <c r="S52" s="19" t="n"/>
      <c r="T52" s="19" t="n"/>
      <c r="U52" s="16" t="n"/>
      <c r="V52" s="15" t="inlineStr">
        <is>
          <t>cad/params.txt comp= count; cad/mesh/meta.json</t>
        </is>
      </c>
      <c r="W52" s="20" t="n"/>
    </row>
    <row r="53">
      <c r="A53" s="14" t="inlineStr">
        <is>
          <t>M-12</t>
        </is>
      </c>
      <c r="B53" s="15" t="inlineStr">
        <is>
          <t>Printed PETG boom-to-wing clamp at 80 % chord; top meets the wing lower surface</t>
        </is>
      </c>
      <c r="C53" s="14" t="inlineStr">
        <is>
          <t>Make</t>
        </is>
      </c>
      <c r="D53" s="14" t="inlineStr">
        <is>
          <t>Fabricated part</t>
        </is>
      </c>
      <c r="E53" s="14" t="inlineStr">
        <is>
          <t>K2</t>
        </is>
      </c>
      <c r="F53" s="14" t="inlineStr">
        <is>
          <t>Boom_Clamp_Rear</t>
        </is>
      </c>
      <c r="G53" s="14" t="n">
        <v>2</v>
      </c>
      <c r="H53" s="16" t="n"/>
      <c r="I53" s="16" t="n">
        <v>0</v>
      </c>
      <c r="J53" s="14">
        <f>MAX(0,G53-I53-N(H53))</f>
        <v/>
      </c>
      <c r="K53" s="16" t="inlineStr">
        <is>
          <t>To make</t>
        </is>
      </c>
      <c r="L53" s="14" t="inlineStr">
        <is>
          <t>In-house</t>
        </is>
      </c>
      <c r="M53" s="17" t="n">
        <v>0</v>
      </c>
      <c r="N53" s="17">
        <f>G53*M53</f>
        <v/>
      </c>
      <c r="O53" s="18" t="n"/>
      <c r="P53" s="14" t="inlineStr">
        <is>
          <t>P-05</t>
        </is>
      </c>
      <c r="Q53" s="15" t="inlineStr">
        <is>
          <t>3D print, PETG</t>
        </is>
      </c>
      <c r="R53" s="16" t="inlineStr">
        <is>
          <t>—</t>
        </is>
      </c>
      <c r="S53" s="19" t="n"/>
      <c r="T53" s="19" t="n"/>
      <c r="U53" s="16" t="n"/>
      <c r="V53" s="15" t="inlineStr">
        <is>
          <t>cad/params.txt comp= count; cad/mesh/meta.json</t>
        </is>
      </c>
      <c r="W53" s="20" t="n"/>
    </row>
    <row r="54">
      <c r="A54" s="14" t="inlineStr">
        <is>
          <t>M-13</t>
        </is>
      </c>
      <c r="B54" s="15" t="inlineStr">
        <is>
          <t>Printed PA6-CF motor mount on boom, covers the boom splice at the rear station (EST)</t>
        </is>
      </c>
      <c r="C54" s="14" t="inlineStr">
        <is>
          <t>Make</t>
        </is>
      </c>
      <c r="D54" s="14" t="inlineStr">
        <is>
          <t>Fabricated part</t>
        </is>
      </c>
      <c r="E54" s="14" t="inlineStr">
        <is>
          <t>K2</t>
        </is>
      </c>
      <c r="F54" s="14" t="inlineStr">
        <is>
          <t>Motor_Mount</t>
        </is>
      </c>
      <c r="G54" s="14" t="n">
        <v>4</v>
      </c>
      <c r="H54" s="16" t="n"/>
      <c r="I54" s="16" t="n">
        <v>0</v>
      </c>
      <c r="J54" s="14">
        <f>MAX(0,G54-I54-N(H54))</f>
        <v/>
      </c>
      <c r="K54" s="16" t="inlineStr">
        <is>
          <t>To make</t>
        </is>
      </c>
      <c r="L54" s="14" t="inlineStr">
        <is>
          <t>In-house</t>
        </is>
      </c>
      <c r="M54" s="17" t="n">
        <v>0</v>
      </c>
      <c r="N54" s="17">
        <f>G54*M54</f>
        <v/>
      </c>
      <c r="O54" s="18" t="n"/>
      <c r="P54" s="14" t="inlineStr">
        <is>
          <t>P-01</t>
        </is>
      </c>
      <c r="Q54" s="15" t="inlineStr">
        <is>
          <t>3D print, PA6-CF (motor heat)</t>
        </is>
      </c>
      <c r="R54" s="16" t="inlineStr">
        <is>
          <t>—</t>
        </is>
      </c>
      <c r="S54" s="19" t="n"/>
      <c r="T54" s="19" t="n"/>
      <c r="U54" s="16" t="n"/>
      <c r="V54" s="15" t="inlineStr">
        <is>
          <t>cad/params.txt comp= count; cad/mesh/meta.json</t>
        </is>
      </c>
      <c r="W54" s="20" t="n"/>
    </row>
    <row r="55">
      <c r="A55" s="14" t="inlineStr">
        <is>
          <t>M-14</t>
        </is>
      </c>
      <c r="B55" s="15" t="inlineStr">
        <is>
          <t>Horizontal stabiliser, NACA 0009 (EST), area from V_h = 0.35</t>
        </is>
      </c>
      <c r="C55" s="14" t="inlineStr">
        <is>
          <t>Make</t>
        </is>
      </c>
      <c r="D55" s="14" t="inlineStr">
        <is>
          <t>Fabricated part</t>
        </is>
      </c>
      <c r="E55" s="14" t="inlineStr">
        <is>
          <t>K3</t>
        </is>
      </c>
      <c r="F55" s="14" t="inlineStr">
        <is>
          <t>H_Tail</t>
        </is>
      </c>
      <c r="G55" s="14" t="n">
        <v>1</v>
      </c>
      <c r="H55" s="16" t="n"/>
      <c r="I55" s="16" t="n">
        <v>0</v>
      </c>
      <c r="J55" s="14">
        <f>MAX(0,G55-I55-N(H55))</f>
        <v/>
      </c>
      <c r="K55" s="16" t="inlineStr">
        <is>
          <t>To make</t>
        </is>
      </c>
      <c r="L55" s="14" t="inlineStr">
        <is>
          <t>In-house</t>
        </is>
      </c>
      <c r="M55" s="17" t="n">
        <v>0</v>
      </c>
      <c r="N55" s="17">
        <f>G55*M55</f>
        <v/>
      </c>
      <c r="O55" s="18" t="n"/>
      <c r="P55" s="14" t="inlineStr">
        <is>
          <t>P-29</t>
        </is>
      </c>
      <c r="Q55" s="15" t="inlineStr">
        <is>
          <t>Hot-wire or sand XPS, tape skin</t>
        </is>
      </c>
      <c r="R55" s="16" t="inlineStr">
        <is>
          <t>—</t>
        </is>
      </c>
      <c r="S55" s="19" t="n"/>
      <c r="T55" s="19" t="n"/>
      <c r="U55" s="16" t="n"/>
      <c r="V55" s="15" t="inlineStr">
        <is>
          <t>cad/params.txt comp= count; cad/mesh/meta.json</t>
        </is>
      </c>
      <c r="W55" s="20" t="n"/>
    </row>
    <row r="56">
      <c r="A56" s="14" t="inlineStr">
        <is>
          <t>M-15</t>
        </is>
      </c>
      <c r="B56" s="15" t="inlineStr">
        <is>
          <t>Elevator, 30 % chord, NACA 0009</t>
        </is>
      </c>
      <c r="C56" s="14" t="inlineStr">
        <is>
          <t>Make</t>
        </is>
      </c>
      <c r="D56" s="14" t="inlineStr">
        <is>
          <t>Fabricated part</t>
        </is>
      </c>
      <c r="E56" s="14" t="inlineStr">
        <is>
          <t>K3</t>
        </is>
      </c>
      <c r="F56" s="14" t="inlineStr">
        <is>
          <t>Elevator</t>
        </is>
      </c>
      <c r="G56" s="14" t="n">
        <v>1</v>
      </c>
      <c r="H56" s="16" t="n"/>
      <c r="I56" s="16" t="n">
        <v>0</v>
      </c>
      <c r="J56" s="14">
        <f>MAX(0,G56-I56-N(H56))</f>
        <v/>
      </c>
      <c r="K56" s="16" t="inlineStr">
        <is>
          <t>To make</t>
        </is>
      </c>
      <c r="L56" s="14" t="inlineStr">
        <is>
          <t>In-house</t>
        </is>
      </c>
      <c r="M56" s="17" t="n">
        <v>0</v>
      </c>
      <c r="N56" s="17">
        <f>G56*M56</f>
        <v/>
      </c>
      <c r="O56" s="18" t="n"/>
      <c r="P56" s="14" t="inlineStr">
        <is>
          <t>P-29</t>
        </is>
      </c>
      <c r="Q56" s="15" t="inlineStr">
        <is>
          <t>Cut XPS, tape hinge</t>
        </is>
      </c>
      <c r="R56" s="16" t="inlineStr">
        <is>
          <t>—</t>
        </is>
      </c>
      <c r="S56" s="19" t="n"/>
      <c r="T56" s="19" t="n"/>
      <c r="U56" s="16" t="n"/>
      <c r="V56" s="15" t="inlineStr">
        <is>
          <t>cad/params.txt comp= count; cad/mesh/meta.json</t>
        </is>
      </c>
      <c r="W56" s="20" t="n"/>
    </row>
    <row r="57">
      <c r="A57" s="14" t="inlineStr">
        <is>
          <t>M-16</t>
        </is>
      </c>
      <c r="B57" s="15" t="inlineStr">
        <is>
          <t>Vertical fin, NACA 0009, lofted taper 65 % tip chord</t>
        </is>
      </c>
      <c r="C57" s="14" t="inlineStr">
        <is>
          <t>Make</t>
        </is>
      </c>
      <c r="D57" s="14" t="inlineStr">
        <is>
          <t>Fabricated part</t>
        </is>
      </c>
      <c r="E57" s="14" t="inlineStr">
        <is>
          <t>K3</t>
        </is>
      </c>
      <c r="F57" s="14" t="inlineStr">
        <is>
          <t>Fin</t>
        </is>
      </c>
      <c r="G57" s="14" t="n">
        <v>2</v>
      </c>
      <c r="H57" s="16" t="n"/>
      <c r="I57" s="16" t="n">
        <v>0</v>
      </c>
      <c r="J57" s="14">
        <f>MAX(0,G57-I57-N(H57))</f>
        <v/>
      </c>
      <c r="K57" s="16" t="inlineStr">
        <is>
          <t>To make</t>
        </is>
      </c>
      <c r="L57" s="14" t="inlineStr">
        <is>
          <t>In-house</t>
        </is>
      </c>
      <c r="M57" s="17" t="n">
        <v>0</v>
      </c>
      <c r="N57" s="17">
        <f>G57*M57</f>
        <v/>
      </c>
      <c r="O57" s="18" t="n"/>
      <c r="P57" s="14" t="inlineStr">
        <is>
          <t>P-29</t>
        </is>
      </c>
      <c r="Q57" s="15" t="inlineStr">
        <is>
          <t>Cut XPS, tape skin</t>
        </is>
      </c>
      <c r="R57" s="16" t="inlineStr">
        <is>
          <t>—</t>
        </is>
      </c>
      <c r="S57" s="19" t="n"/>
      <c r="T57" s="19" t="n"/>
      <c r="U57" s="16" t="n"/>
      <c r="V57" s="15" t="inlineStr">
        <is>
          <t>cad/params.txt comp= count; cad/mesh/meta.json</t>
        </is>
      </c>
      <c r="W57" s="20" t="n"/>
    </row>
    <row r="58">
      <c r="A58" s="14" t="inlineStr">
        <is>
          <t>M-17</t>
        </is>
      </c>
      <c r="B58" s="15" t="inlineStr">
        <is>
          <t>Fuselage pod, 0.85 m x 0.16 m, foam + PETG frames + tape (EST)</t>
        </is>
      </c>
      <c r="C58" s="14" t="inlineStr">
        <is>
          <t>Make</t>
        </is>
      </c>
      <c r="D58" s="14" t="inlineStr">
        <is>
          <t>Fabricated part</t>
        </is>
      </c>
      <c r="E58" s="14" t="inlineStr">
        <is>
          <t>K4</t>
        </is>
      </c>
      <c r="F58" s="14" t="inlineStr">
        <is>
          <t>Fuselage_Pod</t>
        </is>
      </c>
      <c r="G58" s="14" t="n">
        <v>1</v>
      </c>
      <c r="H58" s="16" t="n"/>
      <c r="I58" s="16" t="n">
        <v>0</v>
      </c>
      <c r="J58" s="14">
        <f>MAX(0,G58-I58-N(H58))</f>
        <v/>
      </c>
      <c r="K58" s="16" t="inlineStr">
        <is>
          <t>To make</t>
        </is>
      </c>
      <c r="L58" s="14" t="inlineStr">
        <is>
          <t>In-house</t>
        </is>
      </c>
      <c r="M58" s="17" t="n">
        <v>0</v>
      </c>
      <c r="N58" s="17">
        <f>G58*M58</f>
        <v/>
      </c>
      <c r="O58" s="18" t="n"/>
      <c r="P58" s="14" t="inlineStr">
        <is>
          <t>P-29</t>
        </is>
      </c>
      <c r="Q58" s="15" t="inlineStr">
        <is>
          <t>XPS shell on printed PETG frames, taped</t>
        </is>
      </c>
      <c r="R58" s="16" t="inlineStr">
        <is>
          <t>—</t>
        </is>
      </c>
      <c r="S58" s="19" t="n"/>
      <c r="T58" s="19" t="n"/>
      <c r="U58" s="16" t="n"/>
      <c r="V58" s="15" t="inlineStr">
        <is>
          <t>cad/params.txt comp= count; cad/mesh/meta.json</t>
        </is>
      </c>
      <c r="W58" s="20" t="n"/>
    </row>
    <row r="59">
      <c r="A59" s="14" t="inlineStr">
        <is>
          <t>M-18</t>
        </is>
      </c>
      <c r="B59" s="15" t="inlineStr">
        <is>
          <t>Avionics hatch blister (EST)</t>
        </is>
      </c>
      <c r="C59" s="14" t="inlineStr">
        <is>
          <t>Make</t>
        </is>
      </c>
      <c r="D59" s="14" t="inlineStr">
        <is>
          <t>Fabricated part</t>
        </is>
      </c>
      <c r="E59" s="14" t="inlineStr">
        <is>
          <t>K4</t>
        </is>
      </c>
      <c r="F59" s="14" t="inlineStr">
        <is>
          <t>Canopy</t>
        </is>
      </c>
      <c r="G59" s="14" t="n">
        <v>1</v>
      </c>
      <c r="H59" s="16" t="n"/>
      <c r="I59" s="16" t="n">
        <v>0</v>
      </c>
      <c r="J59" s="14">
        <f>MAX(0,G59-I59-N(H59))</f>
        <v/>
      </c>
      <c r="K59" s="16" t="inlineStr">
        <is>
          <t>To make</t>
        </is>
      </c>
      <c r="L59" s="14" t="inlineStr">
        <is>
          <t>In-house</t>
        </is>
      </c>
      <c r="M59" s="17" t="n">
        <v>0</v>
      </c>
      <c r="N59" s="17">
        <f>G59*M59</f>
        <v/>
      </c>
      <c r="O59" s="18" t="n"/>
      <c r="P59" s="14" t="inlineStr">
        <is>
          <t>P-05</t>
        </is>
      </c>
      <c r="Q59" s="15" t="inlineStr">
        <is>
          <t>3D print or foam blister (EST)</t>
        </is>
      </c>
      <c r="R59" s="16" t="inlineStr">
        <is>
          <t>—</t>
        </is>
      </c>
      <c r="S59" s="19" t="n"/>
      <c r="T59" s="19" t="n"/>
      <c r="U59" s="16" t="n"/>
      <c r="V59" s="15" t="inlineStr">
        <is>
          <t>cad/params.txt comp= count; cad/mesh/meta.json</t>
        </is>
      </c>
      <c r="W59" s="20" t="n"/>
    </row>
    <row r="60">
      <c r="A60" s="14" t="inlineStr">
        <is>
          <t>M-19</t>
        </is>
      </c>
      <c r="B60" s="15" t="inlineStr">
        <is>
          <t>Pusher spinner 42 mm (EST)</t>
        </is>
      </c>
      <c r="C60" s="14" t="inlineStr">
        <is>
          <t>Make</t>
        </is>
      </c>
      <c r="D60" s="14" t="inlineStr">
        <is>
          <t>Fabricated part</t>
        </is>
      </c>
      <c r="E60" s="14" t="inlineStr">
        <is>
          <t>K4</t>
        </is>
      </c>
      <c r="F60" s="14" t="inlineStr">
        <is>
          <t>Spinner</t>
        </is>
      </c>
      <c r="G60" s="14" t="n">
        <v>1</v>
      </c>
      <c r="H60" s="16" t="n"/>
      <c r="I60" s="16" t="n">
        <v>0</v>
      </c>
      <c r="J60" s="14">
        <f>MAX(0,G60-I60-N(H60))</f>
        <v/>
      </c>
      <c r="K60" s="16" t="inlineStr">
        <is>
          <t>To source</t>
        </is>
      </c>
      <c r="L60" s="14" t="inlineStr">
        <is>
          <t>—</t>
        </is>
      </c>
      <c r="M60" s="17" t="n">
        <v>0</v>
      </c>
      <c r="N60" s="17">
        <f>G60*M60</f>
        <v/>
      </c>
      <c r="O60" s="18" t="n"/>
      <c r="P60" s="14" t="inlineStr">
        <is>
          <t>—</t>
        </is>
      </c>
      <c r="Q60" s="15" t="inlineStr">
        <is>
          <t>Not in the BOM: buy or print (—)</t>
        </is>
      </c>
      <c r="R60" s="16" t="inlineStr">
        <is>
          <t>—</t>
        </is>
      </c>
      <c r="S60" s="19" t="n"/>
      <c r="T60" s="19" t="n"/>
      <c r="U60" s="16" t="n"/>
      <c r="V60" s="15" t="inlineStr">
        <is>
          <t>cad/params.txt comp= count; cad/mesh/meta.json</t>
        </is>
      </c>
      <c r="W60" s="20" t="n"/>
    </row>
    <row r="61">
      <c r="A61" s="14" t="inlineStr">
        <is>
          <t>M-20</t>
        </is>
      </c>
      <c r="B61" s="15" t="inlineStr">
        <is>
          <t>Gear leg: 6061 1.000 x 0.058 in offcut + printed TPU/PETG foot (EST)</t>
        </is>
      </c>
      <c r="C61" s="14" t="inlineStr">
        <is>
          <t>Make</t>
        </is>
      </c>
      <c r="D61" s="14" t="inlineStr">
        <is>
          <t>Fabricated part</t>
        </is>
      </c>
      <c r="E61" s="14" t="inlineStr">
        <is>
          <t>K5</t>
        </is>
      </c>
      <c r="F61" s="14" t="inlineStr">
        <is>
          <t>Landing_Leg</t>
        </is>
      </c>
      <c r="G61" s="14" t="n">
        <v>4</v>
      </c>
      <c r="H61" s="16" t="n"/>
      <c r="I61" s="16" t="n">
        <v>0</v>
      </c>
      <c r="J61" s="14">
        <f>MAX(0,G61-I61-N(H61))</f>
        <v/>
      </c>
      <c r="K61" s="16" t="inlineStr">
        <is>
          <t>To make</t>
        </is>
      </c>
      <c r="L61" s="14" t="inlineStr">
        <is>
          <t>In-house</t>
        </is>
      </c>
      <c r="M61" s="17" t="n">
        <v>0</v>
      </c>
      <c r="N61" s="17">
        <f>G61*M61</f>
        <v/>
      </c>
      <c r="O61" s="18" t="n"/>
      <c r="P61" s="14" t="inlineStr">
        <is>
          <t>P-31</t>
        </is>
      </c>
      <c r="Q61" s="15" t="inlineStr">
        <is>
          <t>Cut 0.205 m from socket-tube offcut; printed TPU/PETG foot</t>
        </is>
      </c>
      <c r="R61" s="16" t="inlineStr">
        <is>
          <t>—</t>
        </is>
      </c>
      <c r="S61" s="19" t="n"/>
      <c r="T61" s="19" t="n"/>
      <c r="U61" s="16" t="n"/>
      <c r="V61" s="15" t="inlineStr">
        <is>
          <t>cad/params.txt comp= count; cad/mesh/meta.json</t>
        </is>
      </c>
      <c r="W61" s="20" t="n"/>
    </row>
    <row r="62">
      <c r="A62" s="14" t="inlineStr">
        <is>
          <t>M-21</t>
        </is>
      </c>
      <c r="B62" s="15" t="inlineStr">
        <is>
          <t>Printed PETG gear socket clamp under the boom</t>
        </is>
      </c>
      <c r="C62" s="14" t="inlineStr">
        <is>
          <t>Make</t>
        </is>
      </c>
      <c r="D62" s="14" t="inlineStr">
        <is>
          <t>Fabricated part</t>
        </is>
      </c>
      <c r="E62" s="14" t="inlineStr">
        <is>
          <t>K5</t>
        </is>
      </c>
      <c r="F62" s="14" t="inlineStr">
        <is>
          <t>Gear_Clamp</t>
        </is>
      </c>
      <c r="G62" s="14" t="n">
        <v>4</v>
      </c>
      <c r="H62" s="16" t="n"/>
      <c r="I62" s="16" t="n">
        <v>0</v>
      </c>
      <c r="J62" s="14">
        <f>MAX(0,G62-I62-N(H62))</f>
        <v/>
      </c>
      <c r="K62" s="16" t="inlineStr">
        <is>
          <t>To make</t>
        </is>
      </c>
      <c r="L62" s="14" t="inlineStr">
        <is>
          <t>In-house</t>
        </is>
      </c>
      <c r="M62" s="17" t="n">
        <v>0</v>
      </c>
      <c r="N62" s="17">
        <f>G62*M62</f>
        <v/>
      </c>
      <c r="O62" s="18" t="n"/>
      <c r="P62" s="14" t="inlineStr">
        <is>
          <t>P-05</t>
        </is>
      </c>
      <c r="Q62" s="15" t="inlineStr">
        <is>
          <t>3D print, PETG</t>
        </is>
      </c>
      <c r="R62" s="16" t="inlineStr">
        <is>
          <t>—</t>
        </is>
      </c>
      <c r="S62" s="19" t="n"/>
      <c r="T62" s="19" t="n"/>
      <c r="U62" s="16" t="n"/>
      <c r="V62" s="15" t="inlineStr">
        <is>
          <t>cad/params.txt comp= count; cad/mesh/meta.json</t>
        </is>
      </c>
      <c r="W62" s="20" t="n"/>
    </row>
    <row r="63">
      <c r="A63" s="14" t="inlineStr">
        <is>
          <t>N-01</t>
        </is>
      </c>
      <c r="B63" s="15" t="inlineStr">
        <is>
          <t>Carbon lift prop 17 in (design on demand, 2 CW + 2 CCW + 2 spare)</t>
        </is>
      </c>
      <c r="C63" s="14" t="inlineStr">
        <is>
          <t>NWA</t>
        </is>
      </c>
      <c r="D63" s="14" t="inlineStr">
        <is>
          <t>Lift propulsion</t>
        </is>
      </c>
      <c r="E63" s="14" t="inlineStr">
        <is>
          <t>K2</t>
        </is>
      </c>
      <c r="F63" s="14" t="inlineStr">
        <is>
          <t>Lift_Prop</t>
        </is>
      </c>
      <c r="G63" s="14" t="n">
        <v>6</v>
      </c>
      <c r="H63" s="16" t="n">
        <v>0</v>
      </c>
      <c r="I63" s="16" t="n">
        <v>0</v>
      </c>
      <c r="J63" s="14">
        <f>MAX(0,G63-I63-N(H63))</f>
        <v/>
      </c>
      <c r="K63" s="16" t="inlineStr">
        <is>
          <t>Proposed: NWA sponsor offer (verbal)</t>
        </is>
      </c>
      <c r="L63" s="14" t="inlineStr">
        <is>
          <t>Nautical Wings Aerospace</t>
        </is>
      </c>
      <c r="M63" s="17" t="n">
        <v>0</v>
      </c>
      <c r="N63" s="17">
        <f>G63*M63</f>
        <v/>
      </c>
      <c r="O63" s="18" t="n"/>
      <c r="P63" s="14" t="n"/>
      <c r="Q63" s="15" t="inlineStr">
        <is>
          <t>Send spec sheet; designer proposes pitch</t>
        </is>
      </c>
      <c r="R63" s="16" t="inlineStr">
        <is>
          <t>—</t>
        </is>
      </c>
      <c r="S63" s="19" t="n"/>
      <c r="T63" s="19" t="n"/>
      <c r="U63" s="16" t="n"/>
      <c r="V63" s="15" t="inlineStr">
        <is>
          <t>docs/research/nautical-wings-props.md; sponsorship: team-reported (founders, in person, Oct 2026)</t>
        </is>
      </c>
      <c r="W63" s="20" t="inlineStr">
        <is>
          <t>NWA founders offered to sponsor the team (met in person; team-reported, Oct 2026). Sponsorship rules not yet confirmed in writing. Replaces JeeFly 1755 x 6 if confirmed. Fit to X4110S bolt-on adapter (4 mm shaft); hover point 15.2 N per rotor</t>
        </is>
      </c>
    </row>
    <row r="64">
      <c r="A64" s="14" t="inlineStr">
        <is>
          <t>N-02</t>
        </is>
      </c>
      <c r="B64" s="15" t="inlineStr">
        <is>
          <t>Carbon pusher prop 14 in (design on demand)</t>
        </is>
      </c>
      <c r="C64" s="14" t="inlineStr">
        <is>
          <t>NWA</t>
        </is>
      </c>
      <c r="D64" s="14" t="inlineStr">
        <is>
          <t>Cruise propulsion</t>
        </is>
      </c>
      <c r="E64" s="14" t="inlineStr">
        <is>
          <t>K4</t>
        </is>
      </c>
      <c r="F64" s="14" t="inlineStr">
        <is>
          <t>Pusher_Prop_14in</t>
        </is>
      </c>
      <c r="G64" s="14" t="n">
        <v>2</v>
      </c>
      <c r="H64" s="16" t="n">
        <v>0</v>
      </c>
      <c r="I64" s="16" t="n">
        <v>0</v>
      </c>
      <c r="J64" s="14">
        <f>MAX(0,G64-I64-N(H64))</f>
        <v/>
      </c>
      <c r="K64" s="16" t="inlineStr">
        <is>
          <t>Proposed: NWA sponsor offer (verbal)</t>
        </is>
      </c>
      <c r="L64" s="14" t="inlineStr">
        <is>
          <t>Nautical Wings Aerospace</t>
        </is>
      </c>
      <c r="M64" s="17" t="n">
        <v>0</v>
      </c>
      <c r="N64" s="17">
        <f>G64*M64</f>
        <v/>
      </c>
      <c r="O64" s="18" t="n"/>
      <c r="P64" s="14" t="n"/>
      <c r="Q64" s="15" t="inlineStr">
        <is>
          <t>Send spec sheet; APC 14x8.5EP is the baseline</t>
        </is>
      </c>
      <c r="R64" s="16" t="inlineStr">
        <is>
          <t>—</t>
        </is>
      </c>
      <c r="S64" s="19" t="n"/>
      <c r="T64" s="19" t="n"/>
      <c r="U64" s="16" t="n"/>
      <c r="V64" s="15" t="inlineStr">
        <is>
          <t>docs/research/nautical-wings-props.md; sponsorship: team-reported (founders, in person, Oct 2026)</t>
        </is>
      </c>
      <c r="W64" s="20" t="inlineStr">
        <is>
          <t>NWA founders offered to sponsor the team (met in person; team-reported, Oct 2026). Sponsorship rules not yet confirmed in writing. Replaces APC 14x8.5EP x 3 if confirmed; keep one APC as thrust-stand baseline (team call)</t>
        </is>
      </c>
    </row>
    <row r="65">
      <c r="A65" s="14" t="inlineStr">
        <is>
          <t>G-01</t>
        </is>
      </c>
      <c r="B65" s="15" t="inlineStr">
        <is>
          <t>Du-Bro Super Lite 3.00 in wheel pair (SKU 300SL, 16.8 g/wheel, 5/32 in axle)</t>
        </is>
      </c>
      <c r="C65" s="14" t="inlineStr">
        <is>
          <t>Proposed</t>
        </is>
      </c>
      <c r="D65" s="14" t="inlineStr">
        <is>
          <t>Landing gear</t>
        </is>
      </c>
      <c r="E65" s="14" t="inlineStr">
        <is>
          <t>K5</t>
        </is>
      </c>
      <c r="F65" s="14" t="inlineStr">
        <is>
          <t>Landing_Leg</t>
        </is>
      </c>
      <c r="G65" s="14" t="n">
        <v>2</v>
      </c>
      <c r="H65" s="16" t="n">
        <v>0</v>
      </c>
      <c r="I65" s="16" t="n">
        <v>0</v>
      </c>
      <c r="J65" s="14">
        <f>MAX(0,G65-I65-N(H65))</f>
        <v/>
      </c>
      <c r="K65" s="16" t="inlineStr">
        <is>
          <t>Proposed: wheeled gear</t>
        </is>
      </c>
      <c r="L65" s="14" t="inlineStr">
        <is>
          <t>Gator RC</t>
        </is>
      </c>
      <c r="M65" s="17" t="n">
        <v>6.75</v>
      </c>
      <c r="N65" s="17">
        <f>G65*M65</f>
        <v/>
      </c>
      <c r="O65" s="18" t="n"/>
      <c r="P65" s="14" t="n"/>
      <c r="Q65" s="15" t="n"/>
      <c r="R65" s="16" t="inlineStr">
        <is>
          <t>—</t>
        </is>
      </c>
      <c r="S65" s="19" t="n"/>
      <c r="T65" s="19" t="n"/>
      <c r="U65" s="16" t="n"/>
      <c r="V65" s="15" t="inlineStr">
        <is>
          <t>inventory/electrical/proposed_lines.json: https://www.gator-rc.com/products/dubro-super-lite-wheels (checked 2026-10-19)</t>
        </is>
      </c>
      <c r="W65" s="20" t="inlineStr">
        <is>
          <t>Landing gear on the four existing legs (2 pairs = 4 wheels); raises ground plane 0.048 m EST (wheel radius 0.0381 m + 10 mm axle offset EST), pusher disc clearance 36 to 84 mm. Gator RC page read 2026-10-19: $6.75 per pair, 'Only 1 left' for the product, so one pair must come from another vendor; re-quote before ordering.</t>
        </is>
      </c>
    </row>
    <row r="66">
      <c r="A66" s="14" t="inlineStr">
        <is>
          <t>G-02</t>
        </is>
      </c>
      <c r="B66" s="15" t="inlineStr">
        <is>
          <t>Du-Bro axle shaft 2-pack, 5/32 in x 2 in (DUB248), with 2 nylon-insert nuts</t>
        </is>
      </c>
      <c r="C66" s="14" t="inlineStr">
        <is>
          <t>Proposed</t>
        </is>
      </c>
      <c r="D66" s="14" t="inlineStr">
        <is>
          <t>Landing gear</t>
        </is>
      </c>
      <c r="E66" s="14" t="inlineStr">
        <is>
          <t>K5</t>
        </is>
      </c>
      <c r="F66" s="14" t="inlineStr">
        <is>
          <t>Landing_Leg</t>
        </is>
      </c>
      <c r="G66" s="14" t="n">
        <v>2</v>
      </c>
      <c r="H66" s="16" t="n">
        <v>0</v>
      </c>
      <c r="I66" s="16" t="n">
        <v>0</v>
      </c>
      <c r="J66" s="14">
        <f>MAX(0,G66-I66-N(H66))</f>
        <v/>
      </c>
      <c r="K66" s="16" t="inlineStr">
        <is>
          <t>Proposed: wheeled gear</t>
        </is>
      </c>
      <c r="L66" s="14" t="inlineStr">
        <is>
          <t>Gator RC</t>
        </is>
      </c>
      <c r="M66" s="17" t="n">
        <v>9.050000000000001</v>
      </c>
      <c r="N66" s="17">
        <f>G66*M66</f>
        <v/>
      </c>
      <c r="O66" s="18" t="n"/>
      <c r="P66" s="14" t="n"/>
      <c r="Q66" s="15" t="n"/>
      <c r="R66" s="16" t="inlineStr">
        <is>
          <t>—</t>
        </is>
      </c>
      <c r="S66" s="19" t="n"/>
      <c r="T66" s="19" t="n"/>
      <c r="U66" s="16" t="n"/>
      <c r="V66" s="15" t="inlineStr">
        <is>
          <t>inventory/electrical/proposed_lines.json: https://www.gator-rc.com/products/du-bro-rc-airplane-axle-shafts-2-pack (checked 2026-10-19)</t>
        </is>
      </c>
      <c r="W66" s="20" t="inlineStr">
        <is>
          <t>Four axles for four wheels; thread size not published (—), fit-check against leg tip.</t>
        </is>
      </c>
    </row>
    <row r="67">
      <c r="A67" s="14" t="inlineStr">
        <is>
          <t>G-03</t>
        </is>
      </c>
      <c r="B67" s="15" t="inlineStr">
        <is>
          <t>Du-Bro 5/32 in wheel collars 4-pack (DUB140)</t>
        </is>
      </c>
      <c r="C67" s="14" t="inlineStr">
        <is>
          <t>Proposed</t>
        </is>
      </c>
      <c r="D67" s="14" t="inlineStr">
        <is>
          <t>Landing gear</t>
        </is>
      </c>
      <c r="E67" s="14" t="inlineStr">
        <is>
          <t>K5</t>
        </is>
      </c>
      <c r="F67" s="14" t="inlineStr">
        <is>
          <t>Landing_Leg</t>
        </is>
      </c>
      <c r="G67" s="14" t="n">
        <v>2</v>
      </c>
      <c r="H67" s="16" t="n">
        <v>0</v>
      </c>
      <c r="I67" s="16" t="n">
        <v>0</v>
      </c>
      <c r="J67" s="14">
        <f>MAX(0,G67-I67-N(H67))</f>
        <v/>
      </c>
      <c r="K67" s="16" t="inlineStr">
        <is>
          <t>Proposed: wheeled gear</t>
        </is>
      </c>
      <c r="L67" s="14" t="inlineStr">
        <is>
          <t>Gator RC</t>
        </is>
      </c>
      <c r="M67" s="17" t="n">
        <v>2.95</v>
      </c>
      <c r="N67" s="17">
        <f>G67*M67</f>
        <v/>
      </c>
      <c r="O67" s="18" t="n"/>
      <c r="P67" s="14" t="n"/>
      <c r="Q67" s="15" t="n"/>
      <c r="R67" s="16" t="inlineStr">
        <is>
          <t>—</t>
        </is>
      </c>
      <c r="S67" s="19" t="n"/>
      <c r="T67" s="19" t="n"/>
      <c r="U67" s="16" t="n"/>
      <c r="V67" s="15" t="inlineStr">
        <is>
          <t>inventory/electrical/proposed_lines.json: https://www.gator-rc.com/products/du-bro-wheel-shaft-collars-4-pack (checked 2026-10-19)</t>
        </is>
      </c>
      <c r="W67" s="20" t="inlineStr">
        <is>
          <t>Wheel retention; 8 collars, 4 needed, 4 spare.</t>
        </is>
      </c>
    </row>
    <row r="68">
      <c r="A68" s="14" t="inlineStr">
        <is>
          <t>G-04</t>
        </is>
      </c>
      <c r="B68" s="15" t="inlineStr">
        <is>
          <t>Panasonic 470 uF 35 V low-ESR capacitor</t>
        </is>
      </c>
      <c r="C68" s="14" t="inlineStr">
        <is>
          <t>Proposed</t>
        </is>
      </c>
      <c r="D68" s="14" t="inlineStr">
        <is>
          <t>Electrical</t>
        </is>
      </c>
      <c r="E68" s="14" t="inlineStr">
        <is>
          <t>K2</t>
        </is>
      </c>
      <c r="F68" s="14" t="n"/>
      <c r="G68" s="14" t="n">
        <v>6</v>
      </c>
      <c r="H68" s="16" t="n">
        <v>0</v>
      </c>
      <c r="I68" s="16" t="n">
        <v>0</v>
      </c>
      <c r="J68" s="14">
        <f>MAX(0,G68-I68-N(H68))</f>
        <v/>
      </c>
      <c r="K68" s="16" t="inlineStr">
        <is>
          <t>Proposed: electrical</t>
        </is>
      </c>
      <c r="L68" s="14" t="inlineStr">
        <is>
          <t>Race Day Quads</t>
        </is>
      </c>
      <c r="M68" s="17" t="n">
        <v>2.49</v>
      </c>
      <c r="N68" s="17">
        <f>G68*M68</f>
        <v/>
      </c>
      <c r="O68" s="18" t="n"/>
      <c r="P68" s="14" t="n"/>
      <c r="Q68" s="15" t="n"/>
      <c r="R68" s="16" t="inlineStr">
        <is>
          <t>—</t>
        </is>
      </c>
      <c r="S68" s="19" t="n"/>
      <c r="T68" s="19" t="n"/>
      <c r="U68" s="16" t="n"/>
      <c r="V68" s="15" t="inlineStr">
        <is>
          <t>inventory/electrical/proposed_lines.json: https://www.racedayquads.com/products/panasonic-470uf-low-esr-capacitor (checked 2026-10-19)</t>
        </is>
      </c>
      <c r="W68" s="20" t="inlineStr">
        <is>
          <t>FC battery-side cap (vendor guide) plus one per lift ESC and pusher ESC; stock, size, lead length not on page (—). Voltage 35 V from title only.</t>
        </is>
      </c>
    </row>
  </sheetData>
  <autoFilter ref="A1:W68"/>
  <conditionalFormatting sqref="K2:K500">
    <cfRule type="expression" priority="1" dxfId="0">
      <formula>LEFT($K2,12)="Inspected OK"</formula>
    </cfRule>
    <cfRule type="expression" priority="2" dxfId="0">
      <formula>LEFT($K2,8)="Received"</formula>
    </cfRule>
    <cfRule type="expression" priority="3" dxfId="0">
      <formula>LEFT($K2,4)="Made"</formula>
    </cfRule>
    <cfRule type="expression" priority="4" dxfId="1">
      <formula>LEFT($K2,8)="Rejected"</formula>
    </cfRule>
    <cfRule type="expression" priority="5" dxfId="1">
      <formula>LEFT($K2,9)="To source"</formula>
    </cfRule>
    <cfRule type="expression" priority="6" dxfId="2">
      <formula>LEFT($K2,8)="To order"</formula>
    </cfRule>
    <cfRule type="expression" priority="7" dxfId="3">
      <formula>LEFT($K2,7)="Ordered"</formula>
    </cfRule>
    <cfRule type="expression" priority="8" dxfId="3">
      <formula>LEFT($K2,11)="In progress"</formula>
    </cfRule>
    <cfRule type="expression" priority="9" dxfId="4">
      <formula>LEFT($K2,4)="Hold"</formula>
    </cfRule>
    <cfRule type="expression" priority="10" dxfId="4">
      <formula>LEFT($K2,8)="Proposed"</formula>
    </cfRule>
    <cfRule type="expression" priority="11" dxfId="5">
      <formula>LEFT($K2,7)="To make"</formula>
    </cfRule>
  </conditionalFormatting>
  <dataValidations count="4">
    <dataValidation sqref="K2:K500" showDropDown="0" showInputMessage="0" showErrorMessage="0" allowBlank="1" type="list">
      <formula1>=Lists!$A$2:$A$13</formula1>
    </dataValidation>
    <dataValidation sqref="E2:E500" showDropDown="0" showInputMessage="0" showErrorMessage="0" allowBlank="1" type="list">
      <formula1>=Lists!$B$2:$B$8</formula1>
    </dataValidation>
    <dataValidation sqref="U2:U500" showDropDown="0" showInputMessage="0" showErrorMessage="0" allowBlank="1" type="list">
      <formula1>=Lists!$D$2:$D$4</formula1>
    </dataValidation>
    <dataValidation sqref="C2:C500" showDropDown="0" showInputMessage="0" showErrorMessage="0" allowBlank="1" type="list">
      <formula1>=Lists!$E$2:$E$4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3" max="3"/>
  </cols>
  <sheetData>
    <row r="1">
      <c r="A1" s="6" t="inlineStr">
        <is>
          <t>Status</t>
        </is>
      </c>
      <c r="B1" s="6" t="inlineStr">
        <is>
          <t>Kit</t>
        </is>
      </c>
      <c r="C1" s="6" t="inlineStr">
        <is>
          <t>Kit name</t>
        </is>
      </c>
      <c r="D1" s="6" t="inlineStr">
        <is>
          <t>Inspected</t>
        </is>
      </c>
      <c r="E1" s="6" t="inlineStr">
        <is>
          <t>Type</t>
        </is>
      </c>
    </row>
    <row r="2">
      <c r="A2" s="5" t="inlineStr">
        <is>
          <t>To order</t>
        </is>
      </c>
      <c r="B2" s="5" t="inlineStr">
        <is>
          <t>K1</t>
        </is>
      </c>
      <c r="C2" s="5" t="inlineStr">
        <is>
          <t>Wing</t>
        </is>
      </c>
      <c r="D2" s="5" t="inlineStr">
        <is>
          <t>Y</t>
        </is>
      </c>
      <c r="E2" s="5" t="inlineStr">
        <is>
          <t>Buy</t>
        </is>
      </c>
    </row>
    <row r="3">
      <c r="A3" s="5" t="inlineStr">
        <is>
          <t>Ordered</t>
        </is>
      </c>
      <c r="B3" s="5" t="inlineStr">
        <is>
          <t>K2</t>
        </is>
      </c>
      <c r="C3" s="5" t="inlineStr">
        <is>
          <t>Booms &amp; lift</t>
        </is>
      </c>
      <c r="D3" s="5" t="inlineStr">
        <is>
          <t>N</t>
        </is>
      </c>
      <c r="E3" s="5" t="inlineStr">
        <is>
          <t>Make</t>
        </is>
      </c>
    </row>
    <row r="4">
      <c r="A4" s="5" t="inlineStr">
        <is>
          <t>Received</t>
        </is>
      </c>
      <c r="B4" s="5" t="inlineStr">
        <is>
          <t>K3</t>
        </is>
      </c>
      <c r="C4" s="5" t="inlineStr">
        <is>
          <t>Tail</t>
        </is>
      </c>
      <c r="D4" s="5" t="inlineStr">
        <is>
          <t>Partial</t>
        </is>
      </c>
      <c r="E4" s="5" t="inlineStr">
        <is>
          <t>NWA</t>
        </is>
      </c>
    </row>
    <row r="5">
      <c r="A5" s="5" t="inlineStr">
        <is>
          <t>Inspected OK</t>
        </is>
      </c>
      <c r="B5" s="5" t="inlineStr">
        <is>
          <t>K4</t>
        </is>
      </c>
      <c r="C5" s="5" t="inlineStr">
        <is>
          <t>Pod, avionics &amp; pusher</t>
        </is>
      </c>
    </row>
    <row r="6">
      <c r="A6" s="5" t="inlineStr">
        <is>
          <t>Rejected</t>
        </is>
      </c>
      <c r="B6" s="5" t="inlineStr">
        <is>
          <t>K5</t>
        </is>
      </c>
      <c r="C6" s="5" t="inlineStr">
        <is>
          <t>Landing gear</t>
        </is>
      </c>
    </row>
    <row r="7">
      <c r="A7" s="5" t="inlineStr">
        <is>
          <t>To make</t>
        </is>
      </c>
      <c r="B7" s="5" t="inlineStr">
        <is>
          <t>K6</t>
        </is>
      </c>
      <c r="C7" s="5" t="inlineStr">
        <is>
          <t>Ground support &amp; test</t>
        </is>
      </c>
    </row>
    <row r="8">
      <c r="A8" s="5" t="inlineStr">
        <is>
          <t>In progress</t>
        </is>
      </c>
      <c r="B8" s="5" t="inlineStr">
        <is>
          <t>K7</t>
        </is>
      </c>
      <c r="C8" s="5" t="inlineStr">
        <is>
          <t>Raw stock &amp; consumables</t>
        </is>
      </c>
    </row>
    <row r="9">
      <c r="A9" s="5" t="inlineStr">
        <is>
          <t>Made</t>
        </is>
      </c>
    </row>
    <row r="10">
      <c r="A10" s="5" t="inlineStr">
        <is>
          <t>To source</t>
        </is>
      </c>
    </row>
    <row r="11">
      <c r="A11" s="5" t="inlineStr">
        <is>
          <t>Hold: NWA swap pending</t>
        </is>
      </c>
    </row>
    <row r="12">
      <c r="A12" s="5" t="inlineStr">
        <is>
          <t>Proposed: confirm with NWA</t>
        </is>
      </c>
    </row>
    <row r="13">
      <c r="A13" s="5" t="inlineStr">
        <is>
          <t>Cancelled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2" customWidth="1" min="3" max="3"/>
    <col width="48" customWidth="1" min="4" max="4"/>
    <col width="12" customWidth="1" min="5" max="5"/>
  </cols>
  <sheetData>
    <row r="1">
      <c r="A1" s="12" t="inlineStr">
        <is>
          <t>Written to</t>
        </is>
      </c>
      <c r="B1" s="12" t="inlineStr">
        <is>
          <t>Source</t>
        </is>
      </c>
      <c r="C1" s="12" t="inlineStr">
        <is>
          <t>Object</t>
        </is>
      </c>
      <c r="D1" s="12" t="inlineStr">
        <is>
          <t>Obtained via</t>
        </is>
      </c>
      <c r="E1" s="12" t="inlineStr">
        <is>
          <t>Run at</t>
        </is>
      </c>
    </row>
    <row r="2">
      <c r="A2" s="5" t="inlineStr">
        <is>
          <t>Inventory!A1:W68</t>
        </is>
      </c>
      <c r="B2" s="5" t="inlineStr">
        <is>
          <t>DBF-VTOL repo</t>
        </is>
      </c>
      <c r="C2" s="5" t="inlineStr">
        <is>
          <t>inventory/inventory.json (C0_BOM.csv + cad/params.txt)</t>
        </is>
      </c>
      <c r="D2" s="5" t="inlineStr">
        <is>
          <t>Generated by inventory/build_inventory.mjs, run by Claude</t>
        </is>
      </c>
      <c r="E2" s="5" t="inlineStr">
        <is>
          <t>2026-10-19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2026-10-19T22:58:27Z</dcterms:created>
  <dcterms:modified xmlns:dcterms="http://purl.org/dc/terms/" xmlns:xsi="http://www.w3.org/2001/XMLSchema-instance" xsi:type="dcterms:W3CDTF">2026-10-19T22:58:27Z</dcterms:modified>
</cp:coreProperties>
</file>